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leCheck_v1" state="visible" r:id="rId4"/>
    <sheet sheetId="2" name="Puls_v1" state="visible" r:id="rId5"/>
    <sheet sheetId="3" name="OneP_v1" state="visible" r:id="rId6"/>
    <sheet sheetId="4" name="OneP2_v1" state="visible" r:id="rId7"/>
    <sheet sheetId="5" name="OneP3_v1" state="visible" r:id="rId8"/>
    <sheet sheetId="6" name="OneP4_v1" state="visible" r:id="rId9"/>
    <sheet sheetId="7" name="ExchL_v1" state="visible" r:id="rId10"/>
    <sheet sheetId="8" name="TwoP_v1" state="visible" r:id="rId11"/>
    <sheet sheetId="9" name="VtTest_v1" state="visible" r:id="rId12"/>
    <sheet sheetId="10" name="CylReplace_v1" state="visible" r:id="rId13"/>
    <sheet sheetId="11" name="Bypass_v1" state="visible" r:id="rId14"/>
    <sheet sheetId="12" name="AfterThreeP_v1" state="visible" r:id="rId15"/>
    <sheet sheetId="13" name="AfterPlusL_v1" state="visible" r:id="rId16"/>
    <sheet sheetId="14" name="AfterVtTest_v1" state="visible" r:id="rId17"/>
    <sheet sheetId="15" name="AfterFourP_v1" state="visible" r:id="rId18"/>
    <sheet sheetId="16" name="AdjustMode_v1" state="visible" r:id="rId19"/>
  </sheets>
  <calcPr calcId="171027"/>
</workbook>
</file>

<file path=xl/sharedStrings.xml><?xml version="1.0" encoding="utf-8"?>
<sst xmlns="http://schemas.openxmlformats.org/spreadsheetml/2006/main" count="9476" uniqueCount="403">
  <si>
    <t>실린더교환 사전확인 7단계(IDLE 상태 유지) v1 (IdleCheck)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</si>
  <si>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</si>
  <si>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</si>
  <si>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</si>
  <si>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</si>
  <si>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</si>
  <si>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</si>
  <si>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</si>
  <si>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</si>
  <si>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</si>
  <si>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</si>
  <si>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</si>
  <si>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</si>
  <si>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</si>
  <si>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</si>
  <si>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</si>
  <si>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</si>
  <si>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</si>
  <si>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</si>
  <si>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</si>
  <si>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</si>
  <si>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</si>
  <si>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</si>
  <si>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</si>
  <si>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</si>
  <si>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</si>
  <si>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</si>
  <si>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</si>
  <si>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</si>
  <si>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</si>
  <si>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</si>
  <si>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</si>
  <si>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</si>
  <si>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</si>
  <si>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</si>
  <si>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</si>
  <si>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</si>
  <si>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</si>
  <si>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</si>
  <si>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</si>
  <si>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</si>
  <si>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</si>
  <si>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</si>
  <si>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실린더 확인 ]</t>
  </si>
  <si>
    <t>확인</t>
  </si>
  <si>
    <t xml:space="preserve">"{side}" 실린더를 선택 하셨습니다.
공급 중 Cylinder에 보호 Cover를 장착하세요.
(NG시 Cover 장착 후 실시) *Valve Shutter 설비는 제외</t>
  </si>
  <si>
    <t>C</t>
  </si>
  <si>
    <t>Purge 대상(탈착) 채널 확인 및 공급중 Cylinder 보호 Cover 장착 내용 추가 (실린더교환.xlsx 4.①)</t>
  </si>
  <si>
    <t>2</t>
  </si>
  <si>
    <t>[ DATA 확인 ]</t>
  </si>
  <si>
    <t xml:space="preserve">교환될 실린더의 압력과 무게를 확인해 주십시요.
HPT(PT1): -- psi / LPT(PT3): -- psi / W/S: -- Kg</t>
  </si>
  <si>
    <t>Purge 전 공급 압력 확인(Data). W/S는 W/S 사용 옵션에 따름. HPT는 저압가스 사용시만 소수점 한자리, LPT는 항시 소수점 한자리(실린더교환.xlsx 5). 값 Reading/표시 로직은 아직 미구현.</t>
  </si>
  <si>
    <t>3</t>
  </si>
  <si>
    <t>[ VALVE SHUTTER 확인 ]</t>
  </si>
  <si>
    <t xml:space="preserve">AUTO VALVE SHUTTER는 완전히 CLOSE가 되었는지
확인후 제거해 주십시요.</t>
  </si>
  <si>
    <t>V/S 대상 GAS의 경우에만 추가(V/S Close 확인 후 제거) - 옵션 적용 Step, 실린더교환.xlsx 6.(V/S). OPTION 연동은 아직 미구현(항상 표시).</t>
  </si>
  <si>
    <t>4</t>
  </si>
  <si>
    <t>[ 실린더 VALVE 확인 ]</t>
  </si>
  <si>
    <t xml:space="preserve">실린더 MAIN VALVE를 시계 방향으로 완전히 CLOSE
하여 주십시요.
(Pneumatic 경우 Air Hose 제거 및 Lock 설정)</t>
  </si>
  <si>
    <t>Cylinder Main Valve Close(Pneumatic 경우 Air Hose 제거 및 Lock 설정), 실린더교환.xlsx 7.②</t>
  </si>
  <si>
    <t>5</t>
  </si>
  <si>
    <t>[ 실린더 스티커 제거 ]</t>
  </si>
  <si>
    <t xml:space="preserve">탈착 실린더(사용중) 스티커 제거 → 공병
공급 실린더(실병) 스티커 제거 → (사용중)</t>
  </si>
  <si>
    <t>탈착/공급 실린더 스티커 제거 내용 추가, Maker 3社 공통 추가 필요(실린더교환.xlsx 8.③)</t>
  </si>
  <si>
    <t>6</t>
  </si>
  <si>
    <t>[ PUMP 확인 ]</t>
  </si>
  <si>
    <t xml:space="preserve">PUMP 동작이 정상 입니까?
VPT(PT4): -- psig
(Vent {side} Spec : -14 ~ -15 psig)</t>
  </si>
  <si>
    <t>PT4(VPT) 값이 Reading 되도록 추가(Data)(Spec 표시), 정수로만 표시. Spec -14~-15psig Default(진공 상태 하한치와 별개). 원본 문서: "Spec Out시 다음 Step 진행 불가" - 확인(ack) Step은 아직 조건으로 막는 기능이 없어 값 표시만 하고 인터락은 미구현(실린더교환.xlsx 9.④).</t>
  </si>
  <si>
    <t>7</t>
  </si>
  <si>
    <t>[ Scrubber 확인]</t>
  </si>
  <si>
    <t>Scrubber 동작이 정상 입니까? 다른 연결된 장비가 실린더 교환 자동진행 중인지 확인 하세요! (배기 {side} Spec : 50 ~ 500 pa)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</si>
  <si>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1P 배지가 점멸을 시작한다.</t>
  </si>
  <si>
    <t>8</t>
  </si>
  <si>
    <t>[ 반대편 공급 압력 확인 ]</t>
  </si>
  <si>
    <t xml:space="preserve">실린더 교환전 배관청소를 진행하려고 합니다.
공급중인 실린더의 1차측 압력을 확인해 주십시요.
HPT B(PT2B): -- psi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</si>
  <si>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2P 배지가 점멸을 시작한다.</t>
  </si>
  <si>
    <t>9</t>
  </si>
  <si>
    <t>[ 교환전 자동진행 예상 시간 ]</t>
  </si>
  <si>
    <t xml:space="preserve">실린더 교환전 자동진행 예상 시간
자동 진행 동안 공급중 실린더 충전량은 충분한가요?
남은 시간 : -- 시간 --분 --초 / 교환전 청소 완료 예정 시간 : ----년 --월 --일 --시 --분 --초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</si>
  <si>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3P 배지가 점멸을 시작한다.</t>
  </si>
  <si>
    <t>Puls 구간(잔류가스 Check ~ Pulse Vent) v1 (Puls) - GMS 서브시퀀스</t>
  </si>
  <si>
    <t>배관내 잔류 CHECK를 시작 합니다. - 밸브 초기화(전체 Close)</t>
  </si>
  <si>
    <t>밸브 초기화 중입니다.</t>
  </si>
  <si>
    <t>예시값 - 실제 초기화 순서/조건 아님</t>
  </si>
  <si>
    <t>[ Puls Vent 진행 ]</t>
  </si>
  <si>
    <t>자동</t>
  </si>
  <si>
    <t>Puls Vent 진행중입니다.</t>
  </si>
  <si>
    <t>O</t>
  </si>
  <si>
    <t>VPT</t>
  </si>
  <si>
    <t>&lt;=</t>
  </si>
  <si>
    <t>진공하한치_{side}</t>
  </si>
  <si>
    <t>진공 불량(VPT)</t>
  </si>
  <si>
    <t>Step 7의 반복문 진입점 - 설정횟수만큼 반복하는 동안 Alarm Goto로 여기로 되돌아온다.</t>
  </si>
  <si>
    <t>Pump 배관 진공 Check</t>
  </si>
  <si>
    <t>배관내 잔류 가스 Check</t>
  </si>
  <si>
    <t>7A</t>
  </si>
  <si>
    <t>HPT_{side}</t>
  </si>
  <si>
    <t>Pulse Vent Stop (psi)_{side}</t>
  </si>
  <si>
    <t>[반복 사용법 1/3] HPT_{side} &lt;= Pulse Vent Stop(psi) 이면(참) Next Step(8)로 진행 - Puls Vent 정상 종료. 거짓(아직 압력 안 낮음)이면 Alarm Goto(7A)로 이동해 진행횟수를 확인한다(밸브/누적시간 유지, 가벼운 이동).</t>
  </si>
  <si>
    <t>7B</t>
  </si>
  <si>
    <t>Pulse Vent 진행 횟수 Check</t>
  </si>
  <si>
    <t>진행횟수</t>
  </si>
  <si>
    <t>&gt;=</t>
  </si>
  <si>
    <t>Puls vent 설정횟수_{side}</t>
  </si>
  <si>
    <t>[반복 사용법 2/3 - 진행횟수 카운터] Step 7(HPT 조건 거짓)에서만 도달. 이 Step의 "Alarm Monitoring" 열 값이 예약어 "진행횟수"이므로, 이 Step이 이번 반복에서 처음 평가되는 순간 진행 횟수가 자동으로 +1 된다(다른 열은 없음 - Alarm Monitoring="진행횟수"라고 적는 것 자체가 카운터 동작이다. 다른 시퀀스에서 재사용할 때도 이 열만 "진행횟수"로 적으면 됨). 그 증가된 값으로 곧바로 비교: 진행횟수&gt;=설정횟수(참, 소진)면 Next Step(7B)에서 정지. 거짓(아직 미만)이면 Alarm Goto(2)로 Step 2부터 다시 반복.</t>
  </si>
  <si>
    <t>Puls Vent 설정횟수 초과</t>
  </si>
  <si>
    <t>설정횟수를 초과하여 Puls Vent를 정지합니다.</t>
  </si>
  <si>
    <t>&lt;</t>
  </si>
  <si>
    <t>Puls Vent Fail - 설정횟수 초과</t>
  </si>
  <si>
    <t>[반복 사용법 3/3 - 정지 트리거] Step 7A에서 진행횟수 소진(참)으로만 도달하는 정지 전용 Step. 이 Step도 Alarm Monitoring="진행횟수"라 평가는 되지만, 같은 반복 안에서 7A가 이미 카운트했으므로 여기서는 중복으로 늘지 않는다(반복당 정확히 1번만 증가). 조건(진행횟수 &lt; 설정횟수)은 도달 시점에 이미 항상 거짓이 되도록 설계됨 - Alarm Goto가 없어 Alarm Seq.(1=초기화/정지)가 실제로 발동한다. 정지 코드/문구를 바꾸려면 alarmSeq/alarmMessage 열만 수정.</t>
  </si>
  <si>
    <t>Pulse Vent 마무리 - 밸브 초기화(전체 Close)</t>
  </si>
  <si>
    <t>Puls Vent Sequence Complet</t>
  </si>
  <si>
    <t>PT Calibration이 완료되었습니다.</t>
  </si>
  <si>
    <t>1P 구간 - 1-2차측 Vent Mode v1 (OneP) - GMS 서브시퀀스</t>
  </si>
  <si>
    <t>[ 1-2차측 Vent Mode ]</t>
  </si>
  <si>
    <t>[ 1-2차측 Vent 진행 ]</t>
  </si>
  <si>
    <t>1-2차측 Vent 진행중입니다.</t>
  </si>
  <si>
    <t>Step 23의 반복문 진입점 - 설정횟수만큼 반복하는 동안 Alarm Goto로 여기로 되돌아온다.</t>
  </si>
  <si>
    <t>LPT_{side}  &amp; MPT_{side}</t>
  </si>
  <si>
    <t>&lt;= &amp; &lt;=</t>
  </si>
  <si>
    <t>진공하한치_{side} &amp; 진공하한치_{side}</t>
  </si>
  <si>
    <t>배관진공 불량(LPT,MPT)</t>
  </si>
  <si>
    <t>배관진공 불량(HPT)</t>
  </si>
  <si>
    <t>NPT_{side}</t>
  </si>
  <si>
    <t>배관진공 불량(NPT)</t>
  </si>
  <si>
    <t>VPT &amp; LPT_{side} &amp; HPT_{side} &amp; NPT_{side} &amp; MPT_{side}</t>
  </si>
  <si>
    <t>&lt;= &amp; &lt;= &amp; &lt;= &amp; &lt;= &amp; &lt;=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</si>
  <si>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</si>
  <si>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</si>
  <si>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</si>
  <si>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10</t>
  </si>
  <si>
    <t>11</t>
  </si>
  <si>
    <t>12</t>
  </si>
  <si>
    <t>13</t>
  </si>
  <si>
    <t>38</t>
  </si>
  <si>
    <t>[ 1-2차측 Vent Sequence Complet ]</t>
  </si>
  <si>
    <t>1-2차측 Vent가 완료되었습니다.</t>
  </si>
  <si>
    <t>1P 구간 - 2차측 Purge v1 (OneP2) - GMS 서브시퀀스</t>
  </si>
  <si>
    <t>[ 2차측 Purge Mode ]</t>
  </si>
  <si>
    <t>2차측 Purge를 시작합니다.</t>
  </si>
  <si>
    <t>뼈대 Step - 실제 밸브/조건 미정</t>
  </si>
  <si>
    <t>LPT_{side}</t>
  </si>
  <si>
    <t>배관진공 불량(LPT)</t>
  </si>
  <si>
    <t>VPT &amp; LPT_{side} &amp; HPT_{side} &amp; NPT_{side} &amp; MPT_{side}?</t>
  </si>
  <si>
    <t>&lt;= &amp; &lt;= &amp; &lt;= &amp; &lt;= &amp; &lt;=?</t>
  </si>
  <si>
    <t>14</t>
  </si>
  <si>
    <t>15</t>
  </si>
  <si>
    <t>Purge N2 공급 Check</t>
  </si>
  <si>
    <t>16</t>
  </si>
  <si>
    <t>17</t>
  </si>
  <si>
    <t>18</t>
  </si>
  <si>
    <t>19</t>
  </si>
  <si>
    <t>20</t>
  </si>
  <si>
    <t>21</t>
  </si>
  <si>
    <t>22</t>
  </si>
  <si>
    <t>교환전 2차측 퍼지 횟수_{side}</t>
  </si>
  <si>
    <t>[반복 사용법] 이 Step의 'Alarm Monitoring' 열 값이 예약어 '진행횟수'이므로, 이 Step이 이번 반복에서 처음 평가되는 순간 진행 횟수가 자동으로 +1 된다. 진행횟수&gt;=교환전 2차측 퍼지 횟수(CONFIG 탭) 이면 참 -&gt; Next Step(23)으로 진행(반복 종료). 거짓(아직 반복 중)이면 Alarm Goto(2)로 되돌아감 - 밸브 상태/누적시간/진행 횟수는 그대로 유지된 채 가볍게 이동만 함(Alarm Seq. 코드 1/2/3의 초기화/CLOSE 동작 없음). 반복 횟수는 CONFIG 탭의 '교환전 2차측 퍼지 횟수' 행에서 바꾼다.</t>
  </si>
  <si>
    <t>23</t>
  </si>
  <si>
    <t>24</t>
  </si>
  <si>
    <t>[ 2차측 Purge Sequence Complet ]</t>
  </si>
  <si>
    <t>2차측 Purge가 완료되었습니다.</t>
  </si>
  <si>
    <t>1P 구간 - Pumping v1 (OneP3) - GMS 서브시퀀스</t>
  </si>
  <si>
    <t>[ Pumping Mode ]</t>
  </si>
  <si>
    <t>Pump 작동을 시작합니다.</t>
  </si>
  <si>
    <t>CAPTURE:HPT_{side}</t>
  </si>
  <si>
    <t>Pump 작동중입니다.</t>
  </si>
  <si>
    <t>배관라인불량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</si>
  <si>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</si>
  <si>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PUMPING 시간[분]_{side}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</si>
  <si>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</si>
  <si>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[ Pumping Sequence Complet ]</t>
  </si>
  <si>
    <t>Pumping이 완료되었습니다.</t>
  </si>
  <si>
    <t>1P 구간 - 1차측 Purge v1 (OneP4) - GMS 서브시퀀스</t>
  </si>
  <si>
    <t>[ 1차측 Purge Mode ]</t>
  </si>
  <si>
    <t>1차측 Purge를 시작합니다.</t>
  </si>
  <si>
    <t>VPT &amp; HPT_{side} &amp; NPT_{side}</t>
  </si>
  <si>
    <t>&lt;= &amp; &lt;= &amp; &lt;= &amp;</t>
  </si>
  <si>
    <t>진공하한치_{side} &amp; 진공하한치_{side} &amp; 진공하한치_{side}</t>
  </si>
  <si>
    <t>교환전 1차 퍼지진행 횟수_{side}</t>
  </si>
  <si>
    <t>[반복 사용법] 이 Step의 'Alarm Monitoring' 열 값이 예약어 '진행횟수'이므로, 이 Step이 이번 반복에서 처음 평가되는 순간 진행 횟수가 자동으로 +1 된다. 진행횟수&gt;=교환전 1차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1차 퍼지진행 횟수' 행에서 바꾼다.</t>
  </si>
  <si>
    <t>[ 1차측 Purge Sequence Complet ]</t>
  </si>
  <si>
    <t>1차측 Purge가 완료되었습니다. 1P 구간을 모두 마칩니다.</t>
  </si>
  <si>
    <t>교환전-L 감압시험 v1 (ExchL) - GMS 서브시퀀스</t>
  </si>
  <si>
    <t>[ 감압시험 Mode ]</t>
  </si>
  <si>
    <t>교환전 감압 시험을 시작합니다.</t>
  </si>
  <si>
    <t>배관 라인 불량</t>
  </si>
  <si>
    <t>6A</t>
  </si>
  <si>
    <t>PT 안정화 시간중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</si>
  <si>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</si>
  <si>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Step(6A)에서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Step(6A 참고)에 예약어 '진행횟수'로 분 단위 시간 판정을 둔다.</t>
  </si>
  <si>
    <t>감압 안정화 시간[분]_{side}</t>
  </si>
  <si>
    <t>[Pumping 재사용 패턴 2/2 - 분 단위 카운트, 즉시 판정] Alarm Monitoring 열 값이 예약어 '진행횟수'이므로, 바로 앞 Step(6)이 60초 대기+안전 검사를 한 번 마치고 여기 도달할 때마다 진행 시간이 자동으로 +1분 된다. 진행시간&gt;=감압 안정화 시간[분](CONFIG 탭) 이면 참 -&gt; Next Step(7)로 진행(2단계, 감압 시간 구간 시작). 거짓(아직 시간 남음)이면 Alarm Goto(6)로 되돌아가 Step 6에서 다시 60초 대기+안전 검사를 반복한다(밸브/누적시간은 그대로 유지된 채 가볍게 이동만 함. 진행 횟수는 이 구간이 끝나고 다음 반복구간(7A)으로 넘어갈 때 엔진이 자동으로 0부터 새로 센다). Time(Sec)=1은 판정 자체는 즉시 이루어지되 엔진이 조건 평가를 실행할 최소한의 타이머다.</t>
  </si>
  <si>
    <t>감압 시험중</t>
  </si>
  <si>
    <t>감압 시간[분]_{side}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</si>
  <si>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이 Step에 처음 도달하는 순간(=6A 구간이 끝난 직후) 진행 횟수는 자동으로 0부터 새로 시작한다(엔진이 카운트하는 Step 번호가 바뀌면 자동 리셋). 진행시간&gt;=감압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</si>
  <si>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[ 감압시험 Sequence Complet ]</t>
  </si>
  <si>
    <t>감압시험이 완료되었습니다.</t>
  </si>
  <si>
    <t>2P 구간 - 2차 배관청소 v1 (TwoP) - GMS 서브시퀀스</t>
  </si>
  <si>
    <t>[ 2차 배관청소 Mode ]</t>
  </si>
  <si>
    <t>2차 배관청소를 시작합니다.</t>
  </si>
  <si>
    <t>OneP4_v1.json(1차측 Purge)과 동일 구조 - 반복 종료 조건 CONFIG만 다름.</t>
  </si>
  <si>
    <t>Step 17의 반복문 진입점 - 설정 횟수만큼 반복하는 동안 Alarm Goto로 여기로 되돌아온다.</t>
  </si>
  <si>
    <t>교환전 2차 퍼지진행 횟수_{side}</t>
  </si>
  <si>
    <t>[반복 사용법] 이 Step의 'Alarm Monitoring' 열 값이 예약어 '진행횟수'이므로, 이 Step이 이번 반복에서 처음 평가되는 순간 진행 횟수가 자동으로 +1 된다. 진행횟수&gt;=교환전 2차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2차 퍼지진행 횟수' 행에서 바꾼다. OneP4_v1.json Step 17과 동일 패턴, CONFIG 이름만 다름.</t>
  </si>
  <si>
    <t>[ 2차 배관청소 Sequence Complet ]</t>
  </si>
  <si>
    <t>2차 배관청소가 완료되었습니다.</t>
  </si>
  <si>
    <t>교환전-VT VT 감압시험 v1 (VtTest) - GMS 서브시퀀스</t>
  </si>
  <si>
    <t>[ VT 감압시험 Mode ]</t>
  </si>
  <si>
    <t>VT 감압시험을 시작합니다.</t>
  </si>
  <si>
    <t>뼈대 Step - 실제 밸브/조건은 첨부 플로우차트(VT SubSequence_VT.xlsx) 기준으로 채움. 1단계(VT Process Pumping)~3단계(VT 점검/누출시험) 전체 구조는 Remarks 참고.</t>
  </si>
  <si>
    <t>VT PUMPING TIME...</t>
  </si>
  <si>
    <t>VT Process Pumping 시간_{side}</t>
  </si>
  <si>
    <t>[1단계 - VT Process Pumping] 예약어 "진행횟수"로 60초=1분마다 자기 자신(Step 5)에 Alarm Goto 하며 진행시간을 센다. 진행시간&gt;=VT Process Pumping 시간_{side}(CONFIG) 이면 Next Step(6)으로 - 이 단계는 별도 진공 판정 없이 시간만 채우면 통과한다(원본 플로우차트에도 이 단계엔 알람 분기가 없음).</t>
  </si>
  <si>
    <t>1단계(VT Process Pumping)를 완료하고 2단계(VT 1/2차측 Pumping)를 시작합니다.</t>
  </si>
  <si>
    <t>VT 1/2차측 Pumping 시간_{side}</t>
  </si>
  <si>
    <t>[2단계 - VT 1/2차측 Pumping] Step 5와 동일한 예약어 "진행횟수" 반복(자기 자신에 Alarm Goto) - 진행시간&gt;=VT 1/2차측 Pumping 시간_{side}(CONFIG)이면 Next Step(14)로 진행해 진공 판정(Step 15)으로 넘어간다.</t>
  </si>
  <si>
    <t>VT_{side}</t>
  </si>
  <si>
    <t>VT 진공 상한 설정_{side}</t>
  </si>
  <si>
    <t>VT Vacuum Error</t>
  </si>
  <si>
    <t>[2단계 진공 판정] VTV를 닫아 시험 대상 배관을 격리한 뒤 VT_{side}(현재값) &lt; VT 진공 상한 설정_{side}(CONFIG)인지 즉시 판정한다. 참(정상)이면 Next Step(16)으로 밸브 Close 후 3단계로 진행. 거짓(비정상 - 진공이 상한을 넘음)이면 Alarm Goto가 비어 있으므로 실제 Alarm Seq. 1이 발생해 시퀀스가 멈춘다(원본 플로우차트의 "All Valve Close→VT Vacuum Error→Restart" 그대로 - 운영자가 RESET/실행/P·W 재입력으로 수동 재시작해야 한다).</t>
  </si>
  <si>
    <t>2단계(VT 1/2차측 Pumping)를 완료하고 3단계(VT 점검 - 누출시험)를 시작합니다.</t>
  </si>
  <si>
    <t>CAPTURE:VT_{side}</t>
  </si>
  <si>
    <t>VT 점검(누출시험) 중</t>
  </si>
  <si>
    <t>[3단계 - VT 점검(누출시험)] Cycle 열 "CAPTURE:VT_{side}"로 이 Step에 최초 도달한 순간의 VT_{side} 값을 "초기값"(화면 표시)으로 한 번만 저장한다(gms-sub-sequence-runner.js subSeqApplyCapture) - 원본 플로우차트의 "d = VT(현재값) + c"에서 이 시점의 VT 값이 곧 d 계산의 기준값이다.</t>
  </si>
  <si>
    <t>VT 점검 시간_{side}</t>
  </si>
  <si>
    <t>[3단계 시간 카운트] Step 5/13과 동일한 예약어 "진행횟수" 반복 - 진행시간&gt;=VT 점검 시간_{side}(CONFIG)이면 Next Step(23)에서 누출 판정을 한다.</t>
  </si>
  <si>
    <t>VT_{side}:CAPOFFSET</t>
  </si>
  <si>
    <t>VT 누출 압력 변동 기준_{side}</t>
  </si>
  <si>
    <t>[3단계 누출 판정 - 신규 예약 문법 ":CAPOFFSET"] "VT_{side}:CAPOFFSET"은 Step 21에서 캡처해 둔 초기값에 비교대상 CONFIG(VT 누출 압력 변동 기준_{side})를 더한 값을 목표(d = 초기값 + c)로 삼아 지금의 VT_{side} 실시간 값과 비교한다(원본 플로우차트 "VT &lt; d" 그대로). 참(정상 - 누출 없음)이면 Next Step(24)로 밸브 Close 후 완료. 거짓(비정상 - 압력이 허용 변동폭 이상 상승 = 누출 의심)이면 Alarm Goto가 비어 있어 실제 Alarm Seq. 1이 발생해 시퀀스가 멈춘다(수동 재시작 필요, Step 15와 동일 정책). 이 ":CAPOFFSET" 문법은 ":OFFSET"(압력조정 캘리브레이션표 기반)의 자매 문법으로, "이번 실행에서 캡처한 값" 기준이라는 점만 다르다.</t>
  </si>
  <si>
    <t>25</t>
  </si>
  <si>
    <t>26</t>
  </si>
  <si>
    <t>27</t>
  </si>
  <si>
    <t>[ VT 감압시험 Sequence Complet ]</t>
  </si>
  <si>
    <t>VT 감압시험이 완료되었습니다.</t>
  </si>
  <si>
    <t>용기교체(CC) 진입화면 Step 데이터 v1 (CylReplace) - GMS 서브시퀀스</t>
  </si>
  <si>
    <t>실린더의 충진 일자를 확인해 주시기 바랍니다.</t>
  </si>
  <si>
    <t>화면: 용기교체CC_실린더 확인.html(cylReplaceCheck) - 밸브 변화 없음, 충진일자 육안 확인용.</t>
  </si>
  <si>
    <t>실린더 교체용 Valve가 순차적으로 Open 됩니다(PIV -&gt; PGII -&gt; PGI, 2초 간격). HPIV는 Close 유지.</t>
  </si>
  <si>
    <t>O+4</t>
  </si>
  <si>
    <t>O+2</t>
  </si>
  <si>
    <t>화면: 용기교체CC_Valve Open 확인.html(cylReplaceValveOpen) - PIV(즉시)/PGII_{side}(+2초)/PGI_{side}(+4초) 순차 Open, HPIV는 즉시 Close 유지. SVG 배관도 밸브 아이콘에 실시간 반영(applyCcStepValves).</t>
  </si>
  <si>
    <t>실린더 교체전 Auto Guard가 Open 되었는지 확인해 주시기 바랍니다.</t>
  </si>
  <si>
    <t>화면: 용기교체CC_Auto Guard Open 확인.html(cylReplaceAutoGuardOpen).</t>
  </si>
  <si>
    <t>이전 실린더를 분리하고, 새로운 실린더를 장착하십시오.</t>
  </si>
  <si>
    <t>화면: 용기교체CC_실린더 분리 및 교체.html(cylReplaceSwap) - 밸브 변화 없음(물리적 교체 작업).</t>
  </si>
  <si>
    <t>바코드 스캐너를 이용하여 실린더 바코드를 읽어 주시기 바랍니다.</t>
  </si>
  <si>
    <t>화면: 용기교체CC_Gas name 확인.html(cylReplaceGasName) - 밸브 변화 없음(바코드 확인용).</t>
  </si>
  <si>
    <t>[ 용기교체 Sequence Complet ]</t>
  </si>
  <si>
    <t>실린더 교체를 위한 Auto Guard가 Close 되며, PIV/PGII/PGI도 순차적으로 Close 됩니다(2초 간격).</t>
  </si>
  <si>
    <t>C+4</t>
  </si>
  <si>
    <t>C+2</t>
  </si>
  <si>
    <t>화면: 용기교체CC_Auto Guard Close 확인.html(cylReplaceAutoGuardClose) - AG_{side}/PIV는 즉시 Close, PGII_{side}(+2초)/PGI_{side}(+4초) 순차 Close. 확인 시 용기교체 완료. SVG 배관도 밸브 아이콘에 실시간 반영(applyCcStepValves).</t>
  </si>
  <si>
    <t>Bypass 구간 - 배관 By-pass 체크 v1 (Bypass) - GMS 서브시퀀스</t>
  </si>
  <si>
    <t>[ Bypass - 2차측 Purge Mode ]</t>
  </si>
  <si>
    <t>Bypass 진행 - 2차측 Purge를 시작합니다.</t>
  </si>
  <si>
    <t>OneP2_v1.json(1P 구간 2차측 Purge)과 동일 구조/CONFIG 재사용 - TASK.md 지시 "1P_2차측Purge 시퀀스 진행".</t>
  </si>
  <si>
    <t>Step 22의 반복문 진입점 - 설정횟수만큼 반복하는 동안 Alarm Goto로 여기로 되돌아온다.</t>
  </si>
  <si>
    <t>VPT &amp; LPT_{side} &amp; HPT_{side} &amp; NPT_{side}</t>
  </si>
  <si>
    <t>&lt;= &amp; &lt;= &amp; &lt;= &amp; &lt;=</t>
  </si>
  <si>
    <t>진공하한치_{side} &amp; 진공하한치_{side} &amp; 진공하한치_{side} &amp; 진공하한치_{side}</t>
  </si>
  <si>
    <t>OneP2_v1.json Step 22와 동일 패턴/CONFIG("교환전 2차측 퍼지 횟수") 재사용 - TASK.md 지시대로 같은 절차를 그대로 반복.</t>
  </si>
  <si>
    <t>[ Bypass 2차측 Purge 완료 ]</t>
  </si>
  <si>
    <t>Bypass 2차측 Purge가 완료되었습니다. 밸브 분기를 확인합니다.</t>
  </si>
  <si>
    <t>[ 고압 HE Leak check 라인 확인 ]</t>
  </si>
  <si>
    <t>28</t>
  </si>
  <si>
    <t>고압 HE Leak check 라인 옵션을 확인합니다.</t>
  </si>
  <si>
    <t>고압HELeakCheck</t>
  </si>
  <si>
    <t>OFF</t>
  </si>
  <si>
    <t>-</t>
  </si>
  <si>
    <t>OPTION 태그 분기(gms.js OPTION 탭 "고압 HE Leak check 라인 유무", gms-sub-sequence-runner.js SUB_SEQ_OPTION_TAGS['고압HELeakCheck']) - 미적용(OFF, 조건 참)이면 Next Step(26, PNBV-&gt;PIV)으로, 적용(ON, 조건 거짓)이면 Alarm Goto(28, HPIV)로 - alarmGoto가 있어 실제 알람은 안 남(단순 분기).</t>
  </si>
  <si>
    <t>PNBV Open</t>
  </si>
  <si>
    <t>고압 HE Leak check 라인 미적용(OFF) 분기 1/2.</t>
  </si>
  <si>
    <t>30</t>
  </si>
  <si>
    <t>PIV Open</t>
  </si>
  <si>
    <t>고압 HE Leak check 라인 미적용(OFF) 분기 2/2 - 완료 후 Step 30(NPT 진공유지 확인)으로 합류.</t>
  </si>
  <si>
    <t>HPIV Open</t>
  </si>
  <si>
    <t>고압 HE Leak check 라인 적용(ON) 분기 - 완료 후 Step 30(NPT 진공유지 확인)으로 합류.</t>
  </si>
  <si>
    <t>30A</t>
  </si>
  <si>
    <t>[ NPT 진공유지 확인 ]</t>
  </si>
  <si>
    <t>NPT 진공유지 확인중</t>
  </si>
  <si>
    <t>PGII Valve bypass 의심 - NPT 진공유지 실패</t>
  </si>
  <si>
    <t>[안전 감시] NPT_{side}&lt;=진공하한치_{side}가 60초 타이머 만료 시점 및 실시간(subSeqCheckLiveSafety)으로 계속 확인된다 - 거짓이면 즉시 Alarm Seq.1(PGII Valve bypass 의심) 발생, 정지. TASK.md 지시: 실패 시 "1P_2차측 Purge 처음부터 확인 후 재진행" - Alarm Seq.1 관례상 재실행은 Step 1부터 시작하므로 별도 조치 불필요.</t>
  </si>
  <si>
    <t>31</t>
  </si>
  <si>
    <t>Bypass 진공유지 확인시간[분]_{side}</t>
  </si>
  <si>
    <t>[분단위 카운트] 진행시간&gt;=Bypass 진공유지 확인시간[분](CONFIG, 기본 5분) 이면 참 -&gt; Next Step(31, PGII Open)으로 진행. 거짓이면 Alarm Goto(30)로 되돌아가 반복(밸브/누적시간 유지).</t>
  </si>
  <si>
    <t>32</t>
  </si>
  <si>
    <t>PGII Open</t>
  </si>
  <si>
    <t>32A</t>
  </si>
  <si>
    <t>[ HPT 진공유지 확인 ]</t>
  </si>
  <si>
    <t>HPT 진공유지 확인중</t>
  </si>
  <si>
    <t>PGI Valve bypass 의심 - HPT 진공유지 실패</t>
  </si>
  <si>
    <t>[안전 감시] PGI는 아직 Close 상태 - 이 구간에서 HPT가 진공을 유지하는지로 PGI가 제대로 밀폐돼 있는지(누설 없는지) 간접 확인한다. 실패 시 PGI 밸브를 의심하는 alarmMessage.</t>
  </si>
  <si>
    <t>33</t>
  </si>
  <si>
    <t>[분단위 카운트] 진행시간&gt;=Bypass 진공유지 확인시간[분] 이면 참 -&gt; Next Step(33)로 진행(Bypass 시퀀스 완료). 거짓이면 Alarm Goto(32)로 되돌아가 반복.</t>
  </si>
  <si>
    <t>[ Bypass Sequence Complet ]</t>
  </si>
  <si>
    <t>Bypass 시퀀스가 완료되었습니다.</t>
  </si>
  <si>
    <t>완료 후 advanceToNextEnabledStatus로 다음 Status(3P, CYLINDER_STEP_ORDER 순서)로 자동 진행.</t>
  </si>
  <si>
    <t>3P 구간 - 교환 후 1차 배관청소 v1 (AfterThreeP) - GMS 서브시퀀스</t>
  </si>
  <si>
    <t>[ 교환 후 1차 배관청소 Mode ]</t>
  </si>
  <si>
    <t>교환 후 1차 배관청소를 시작합니다.</t>
  </si>
  <si>
    <t>TwoP_v1.json(2차 배관청소)과 동일 구조 - 반복 종료 조건 CONFIG만 다름.</t>
  </si>
  <si>
    <t>교환 후 1차 Purge 횟수_{side}</t>
  </si>
  <si>
    <t>[반복 사용법] 이 Step의 'Alarm Monitoring' 열 값이 예약어 '진행횟수'이므로, 이 Step이 이번 반복에서 처음 평가되는 순간 진행 횟수가 자동으로 +1 된다. 진행횟수&gt;=교환 후 1차 Purge 횟수_{side}(CONFIG 탭, 기존 시드 항목 재사용) 이면 참 -&gt; Next Step(20)으로 진행(반복 종료, 완료 화면). 거짓(아직 반복 중)이면 Alarm Goto(2)로 되돌아감 - 밸브 상태/누적시간/진행 횟수는 그대로 유지된 채 가볍게 이동만 함. 반복 횟수는 CONFIG 탭의 '교환 후 1차 Purge 횟수_A'/'_B' 행에서 바꾼다. TwoP_v1.json Step 17과 동일 패턴, CONFIG 이름·측별 분리 방식만 다름.</t>
  </si>
  <si>
    <t>[ 교환 후 1차 배관청소 Sequence Complet ]</t>
  </si>
  <si>
    <t>교환 후 1차 배관청소가 완료되었습니다.</t>
  </si>
  <si>
    <t>+L 구간 - 교환 후 가압시험 v1 (AfterPlusL) - GMS 서브시퀀스</t>
  </si>
  <si>
    <t>[ 교환 후 가압시험 Mode ]</t>
  </si>
  <si>
    <t>교환 후 가압 시험을 시작합니다.</t>
  </si>
  <si>
    <t>TASK.md 2026-08-09 지시 반영.</t>
  </si>
  <si>
    <t>[ Bypass 사용 옵션 확인 ]</t>
  </si>
  <si>
    <t>6B</t>
  </si>
  <si>
    <t>Bypass 사용 옵션을 확인합니다.</t>
  </si>
  <si>
    <t>Bypass사용</t>
  </si>
  <si>
    <t>OPTION 태그 분기(gms.js OPTION 탭 "Bypass 사용 옵션") - 미적용(OFF, 조건 참)이면 Next Step(3, HPIV부터 전체 진행)으로, 적용(ON, 조건 거짓)이면 Alarm Goto(6B, PGI부터 - Bypass가 이미 HPIV/PGII/NPT를 확인했다고 봄)로. alarmGoto가 있어 실제 알람은 안 남(단순 분기).</t>
  </si>
  <si>
    <t>Bypass 미적용(OFF) 분기 1/4.</t>
  </si>
  <si>
    <t>Bypass 미적용(OFF) 분기 2/4.</t>
  </si>
  <si>
    <t>[ NPT 압력범위 확인 ]</t>
  </si>
  <si>
    <t>NPT 압력범위 확인중</t>
  </si>
  <si>
    <t>NPT_{side} &amp; NPT_{side}</t>
  </si>
  <si>
    <t>&gt;= &amp; &lt;=</t>
  </si>
  <si>
    <t>가압 시험-압력 하한_{side} &amp; 가압 시험-압력 상한_{side}</t>
  </si>
  <si>
    <t>NPT 압력범위 이탈</t>
  </si>
  <si>
    <t>Bypass 미적용(OFF) 분기 3/4 - "가압시험 압력 하한 &lt; NPT &lt; 가압시험 압력 상한"(TASK.md)을 같은 태그(NPT_{side})를 "&amp;"로 두 번 적어 상/하한 동시 확인하는 방식으로 구현(기존 TwoP_v1.json Step4의 다중조건 패턴과 동일).</t>
  </si>
  <si>
    <t>PGI Open</t>
  </si>
  <si>
    <t>Bypass 미적용(OFF) 분기 4/4 - 완료 후 Step 7(HPT 압력범위 확인, 공용)로 합류.</t>
  </si>
  <si>
    <t>PGI Open (Bypass 완료 - HPIV/PGII/NPT 확인 생략)</t>
  </si>
  <si>
    <t>Bypass 적용(ON) 분기 - Bypass_v1.json이 이미 HPIV(또는 PNBV+PIV)/PGII/NPT 진공유지 확인을 마쳤으므로 PGI Open만 하고 Step 7로 합류(TASK.md "BYPASS 시퀀스 완료후 PGI").</t>
  </si>
  <si>
    <t>[ HPT 압력범위 확인 ]</t>
  </si>
  <si>
    <t>HPT 압력범위 확인중</t>
  </si>
  <si>
    <t>HPT_{side} &amp; HPT_{side}</t>
  </si>
  <si>
    <t>HPT 압력범위 이탈</t>
  </si>
  <si>
    <t>Bypass 옵션 두 분기(OFF: Step6 경유, ON: Step6B 경유)가 여기서 합류한다 - "가압시험 압력 하한 &lt; HPT &lt; 가압시험 압력 상한"(TASK.md).</t>
  </si>
  <si>
    <t>8A</t>
  </si>
  <si>
    <t>HPT 압력안정화 시간중</t>
  </si>
  <si>
    <t>가압 시험-압력 하한_{side}</t>
  </si>
  <si>
    <t>가압시험 FAIL(안정화 중 압력 하락)</t>
  </si>
  <si>
    <t>[CAPTURE+실시간 안전감시] Cycle 열 'CAPTURE:HPT_{side}'가 이 Step 최초 도달 시 '초기값'을 한 번 저장하고 '현재값'은 계속 갱신한다(TASK.md "초기값 이동, 현재값 실시간 모니터링"). 안전 조건은 HPT_{side}&gt;=가압 시험-압력 하한_{side}(기존 시드 CONFIG) - 60초 타이머 만료 시점뿐 아니라 실시간(subSeqCheckLiveSafety)으로도 확인, 거짓이면 즉시 Alarm Seq.1("가압시험 FAIL") 발생·정지(TASK.md "안정화 시간 도중에 압력 하한 밑으로 떨어지면 가압시험 FAIL 알람 발생하고 멈춤").</t>
  </si>
  <si>
    <t>가압 시험-안정화 시간_{side}</t>
  </si>
  <si>
    <t>[분단위 카운트] 진행시간&gt;=가압 시험-안정화 시간_{side}(기존 시드 CONFIG) 이면 참 -&gt; Next Step(9, 시험 구간). 거짓이면 Alarm Goto(8)로 되돌아가 반복.</t>
  </si>
  <si>
    <t>9A</t>
  </si>
  <si>
    <t>가압 시험중</t>
  </si>
  <si>
    <t>HPT_{side}:CAPOFFSET</t>
  </si>
  <si>
    <t>-가압 시험-압력 변동 기준_{side}</t>
  </si>
  <si>
    <t>가압시험 FAIL(시험 중 압력변동 기준 이탈)</t>
  </si>
  <si>
    <t>[CAPOFFSET, 부호 확장] 이 Step 최초 도달 시 HPT_{side} 초기값을 새로 캡처한다(시험 구간 전용 - 안정화 구간의 캡처와 별개). ':CAPOFFSET' 비교대상 앞에 '-'를 붙이면(gms-sub-sequence-runner.js 2026-08-09 확장) 목표값 = 초기값 - 가압 시험-압력 변동 기준_{side}(기존 시드 CONFIG) - 즉 "초기값보다 이 기준만큼 이상 떨어지면 FAIL"(TASK.md "압력변동기준보다 HPT값이 초기값보다 벗어나면 가압시험 FAIL")을 그대로 구현.</t>
  </si>
  <si>
    <t>가압 시험-시험 시간_{side}</t>
  </si>
  <si>
    <t>[분단위 카운트] 진행시간&gt;=가압 시험-시험 시간_{side}(기존 시드 CONFIG) 이면 참 -&gt; Next Step(15, Puls Vent 옵션 분기, 가압시험 통과). 거짓이면 Alarm Goto(9)로 되돌아가 반복.</t>
  </si>
  <si>
    <t>[ 가압시험 완료후 Puls Vent 옵션 확인 ]</t>
  </si>
  <si>
    <t>가압시험 완료후 Puls Vent 옵션을 확인합니다.</t>
  </si>
  <si>
    <t>가압시험후PulsVent</t>
  </si>
  <si>
    <t>OPTION 태그 분기(gms.js OPTION 탭 "가압시험 완료후 Puls Vent") - 미적용(OFF, 조건 참)이면 Next Step(30, 바로 완료)으로, 적용(ON, 조건 거짓)이면 Alarm Goto(17, Puls Vent 미니시퀀스)로.</t>
  </si>
  <si>
    <t>Puls_v1.json Step 2~9 구조 재사용(TASK.md "Puls Vent 시퀀스 실행") - Step 22A의 반복문 진입점.</t>
  </si>
  <si>
    <t>22A</t>
  </si>
  <si>
    <t>Puls_v1.json Step7과 동일 패턴 - HPT_{side}&lt;=Pulse Vent Stop(psi)(기존 시드 CONFIG) 이면(참) Next Step(23)로 진행. 거짓이면 Alarm Goto(22A)로 이동.</t>
  </si>
  <si>
    <t>22B</t>
  </si>
  <si>
    <t>Puls_v1.json Step7A와 동일 패턴 - 진행횟수&gt;=Puls vent 설정횟수(기존 시드 CONFIG, 참/소진)면 Next Step(22B)에서 정지. 거짓이면 Alarm Goto(17)로 Step 17부터 반복.</t>
  </si>
  <si>
    <t>Puls_v1.json Step7B와 동일 패턴 - 정지 전용 Step, Alarm Goto 없어 Alarm Seq.1 실제 발동.</t>
  </si>
  <si>
    <t>Pulse Vent 마무리</t>
  </si>
  <si>
    <t>Puls_v1.json Step8과 달리 이 미니시퀀스에서 연 밸브(PNV/LPV_{side}/HPI_{side})만 Close한다 - 가압시험 본 구간에서 이미 열어둔 HPIV/PGII/PGI/PNBV/PIV 등은 건드리지 않는다(전체 초기화 금지, 4P 진행 전 상태 보존 목적).</t>
  </si>
  <si>
    <t>[ 교환 후 가압시험 Sequence Complet ]</t>
  </si>
  <si>
    <t>교환 후 가압시험이 완료되었습니다.</t>
  </si>
  <si>
    <t>Puls Vent 옵션 미적용(Step15-&gt;여기 직행)/적용(Step23-&gt;여기) 두 경로가 합류하는 유일한 종료 지점.</t>
  </si>
  <si>
    <t>교환후-VT VT감압시험 v1 (AfterVtTest) - GMS 서브시퀀스</t>
  </si>
  <si>
    <t>VTV</t>
  </si>
  <si>
    <t>VTI</t>
  </si>
  <si>
    <t>4P 구간 - 교환 후 2차 배관청소 v1 (AfterFourP) - GMS 서브시퀀스</t>
  </si>
  <si>
    <t>[ 교환 후 2차 배관청소 Mode ]</t>
  </si>
  <si>
    <t>교환 후 2차 배관청소를 시작합니다.</t>
  </si>
  <si>
    <t>교환 후 2차 Purge 횟수_{side}</t>
  </si>
  <si>
    <t>[반복 사용법] 이 Step의 'Alarm Monitoring' 열 값이 예약어 '진행횟수'이므로, 이 Step이 이번 반복에서 처음 평가되는 순간 진행 횟수가 자동으로 +1 된다. 진행횟수&gt;=교환 후 2차 Purge 횟수_{side}(CONFIG 탭, 기존 시드 항목 재사용) 이면 참 -&gt; Next Step(20)으로 진행(반복 종료, 완료 화면). 거짓(아직 반복 중)이면 Alarm Goto(2)로 되돌아감. 반복 횟수는 CONFIG 탭의 '교환 후 2차 Purge 횟수_A'/'_B' 행에서 바꾼다. TwoP_v1.json Step 17과 동일 패턴, CONFIG 이름·측별 분리 방식만 다름.</t>
  </si>
  <si>
    <t>[ 교환 후 2차 배관청소 Sequence Complet ]</t>
  </si>
  <si>
    <t>교환 후 2차 배관청소가 완료되었습니다.</t>
  </si>
  <si>
    <t>완료 시 PASSWORD(exchangeFourthPurgeDone) 확인 후 Status PC(퍼지완료/가스공급 메뉴)로 전환.</t>
  </si>
  <si>
    <t>조정모드 시퀀스 v1 (샘플) (AdjustMode) - GMS 서브시퀀스</t>
  </si>
  <si>
    <t>조정모드 진입 - 밸브 초기화(전체 Close)</t>
  </si>
  <si>
    <t>조정 모드 진행중 입니다.</t>
  </si>
  <si>
    <t>질소공급하한치_{side}</t>
  </si>
  <si>
    <t>질소공급량 부족(NPT)</t>
  </si>
  <si>
    <t>질소공급량 부족(HPT)</t>
  </si>
  <si>
    <t>NPT_{side} &amp; HPT_{side} &amp; LPT_{side}  &amp; MPT_{side}</t>
  </si>
  <si>
    <t>&gt;= &amp; &gt;= &amp; &gt;= &amp; &gt;=</t>
  </si>
  <si>
    <t>질소공급하한치_{side} &amp; 질소공급하한치_{side} &amp; 질소공급하한치_{side} &amp; 질소공급하한치_{side}</t>
  </si>
  <si>
    <t>질소공급량 부족</t>
  </si>
  <si>
    <t>배관 대기압 형성</t>
  </si>
  <si>
    <t>29</t>
  </si>
  <si>
    <t>대기압 안정화 시간</t>
  </si>
  <si>
    <t>34</t>
  </si>
  <si>
    <t>35</t>
  </si>
  <si>
    <t>조정모드마무리 - 밸브 초기화(전체 Close)</t>
  </si>
  <si>
    <t>36</t>
  </si>
  <si>
    <t>Offset 반영</t>
  </si>
  <si>
    <t>PT 값을 대기압에 맞춰 Offset을 자동으로 반영하고 있습니다.</t>
  </si>
  <si>
    <t>NPT_{side} &amp; HPT_{side} &amp; MPT_{side} &amp; LPT_{side} &amp; VPT</t>
  </si>
  <si>
    <t>ZERO &amp; ZERO &amp; ZERO &amp; ZERO &amp; ZERO</t>
  </si>
  <si>
    <t>[Offset 자동 반영] 확인 버튼이 아니라 자동으로 처리된다 - 비교연산자에 "ZERO"를 쓰면(비교대상 칸은 안 씀) 그 태그의 압력조정 표 현재값을 읽어 정확히 0이 되도록 offset을 다시 계산해서 즉시 저장한다(gms-sub-sequence-runner.js의 subSeqApplyAutoZero). conditionValue를 비워둬서 subSeqEvalCondition은 이 Step을 '조건 없음'으로 조용히 지나간다 - 비교가 아니라 동작이기 때문.</t>
  </si>
  <si>
    <t>37</t>
  </si>
  <si>
    <t>Offset 값 Alarm Check</t>
  </si>
  <si>
    <t>NPT_{side}:OFFSET &amp; HPT_{side}:OFFSET &amp; MPT_{side}:OFFSET &amp; LPT_{side}:OFFSET &amp; VPT:OFFSET</t>
  </si>
  <si>
    <t>&lt;= &amp; &lt;= &amp; &lt;=? &amp; &lt;= &amp; &lt;=</t>
  </si>
  <si>
    <t>NPT_{side}:MAX3% &amp; HPT_{side}:MAX3% &amp; MPT_{side}:MAX3% &amp; LPT_{side}:MAX3% &amp; VPT:MAX3%</t>
  </si>
  <si>
    <t>PT Sensor Range Over</t>
  </si>
  <si>
    <t>[Offset 확인 예시] ":OFFSET" = 원시 PLC 값이 아니라 압력조정 표(analogValue/offset/maxValue)로 계산한 현재값의 절댓값. ":MAX3%" = 같은 태그의 압력조정 표 Max값의 3%. 5개 전부 3% 이내면 정상 진행(38번), 하나라도 벗어나면 Alarm Seq.1 발동 + 에러사항 화면의 알람 메시지에 원인 PT 이름이 자동으로 붙는다(예: "PT Sensor Range Over (NPT_A, HPT_A)"). MPT는 아직 설비에 없는 센서라 비교연산자에만 "?"를 붙여 옵션 처리(태그 자체에는 "?"를 붙이지 않음 - 붙이면 태그명이 깨져서 항상 스킵됨).</t>
  </si>
  <si>
    <t>조정모드 Sequence Complet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</si>
</sst>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 t="s">
        <v>42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44</v>
      </c>
      <c r="H6" t="s">
        <v>42</v>
      </c>
      <c r="I6" t="s">
        <v>42</v>
      </c>
      <c r="J6" t="s">
        <v>50</v>
      </c>
      <c r="K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51</v>
      </c>
    </row>
    <row r="7" spans="1:35" x14ac:dyDescent="0.25">
      <c r="A7" t="s">
        <v>52</v>
      </c>
      <c r="B7">
        <v>1</v>
      </c>
      <c r="C7">
        <v>3</v>
      </c>
      <c r="D7" t="s">
        <v>42</v>
      </c>
      <c r="E7" t="s">
        <v>53</v>
      </c>
      <c r="F7" t="s">
        <v>42</v>
      </c>
      <c r="G7" t="s">
        <v>44</v>
      </c>
      <c r="H7" t="s">
        <v>42</v>
      </c>
      <c r="I7" t="s">
        <v>42</v>
      </c>
      <c r="J7" t="s">
        <v>54</v>
      </c>
      <c r="K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55</v>
      </c>
    </row>
    <row r="8" spans="1:35" x14ac:dyDescent="0.25">
      <c r="A8" t="s">
        <v>56</v>
      </c>
      <c r="B8">
        <v>1</v>
      </c>
      <c r="C8">
        <v>4</v>
      </c>
      <c r="D8" t="s">
        <v>42</v>
      </c>
      <c r="E8" t="s">
        <v>57</v>
      </c>
      <c r="F8" t="s">
        <v>42</v>
      </c>
      <c r="G8" t="s">
        <v>44</v>
      </c>
      <c r="H8" t="s">
        <v>42</v>
      </c>
      <c r="I8" t="s">
        <v>42</v>
      </c>
      <c r="J8" t="s">
        <v>58</v>
      </c>
      <c r="K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59</v>
      </c>
    </row>
    <row r="9" spans="1:35" x14ac:dyDescent="0.25">
      <c r="A9" t="s">
        <v>60</v>
      </c>
      <c r="B9">
        <v>1</v>
      </c>
      <c r="C9">
        <v>5</v>
      </c>
      <c r="D9" t="s">
        <v>42</v>
      </c>
      <c r="E9" t="s">
        <v>61</v>
      </c>
      <c r="F9" t="s">
        <v>42</v>
      </c>
      <c r="G9" t="s">
        <v>44</v>
      </c>
      <c r="H9" t="s">
        <v>42</v>
      </c>
      <c r="I9" t="s">
        <v>42</v>
      </c>
      <c r="J9" t="s">
        <v>62</v>
      </c>
      <c r="K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63</v>
      </c>
    </row>
    <row r="10" spans="1:35" x14ac:dyDescent="0.25">
      <c r="A10" t="s">
        <v>64</v>
      </c>
      <c r="B10">
        <v>1</v>
      </c>
      <c r="C10">
        <v>6</v>
      </c>
      <c r="D10" t="s">
        <v>42</v>
      </c>
      <c r="E10" t="s">
        <v>65</v>
      </c>
      <c r="F10" t="s">
        <v>42</v>
      </c>
      <c r="G10" t="s">
        <v>44</v>
      </c>
      <c r="H10" t="s">
        <v>42</v>
      </c>
      <c r="I10" t="s">
        <v>42</v>
      </c>
      <c r="J10" t="s">
        <v>66</v>
      </c>
      <c r="K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67</v>
      </c>
    </row>
    <row r="11" spans="1:35" x14ac:dyDescent="0.25">
      <c r="A11" t="s">
        <v>68</v>
      </c>
      <c r="B11">
        <v>1</v>
      </c>
      <c r="C11">
        <v>7</v>
      </c>
      <c r="D11" t="s">
        <v>42</v>
      </c>
      <c r="E11" t="s">
        <v>69</v>
      </c>
      <c r="F11" t="s">
        <v>42</v>
      </c>
      <c r="G11" t="s">
        <v>44</v>
      </c>
      <c r="H11" t="s">
        <v>42</v>
      </c>
      <c r="I11" t="s">
        <v>42</v>
      </c>
      <c r="J11" t="s">
        <v>70</v>
      </c>
      <c r="K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71</v>
      </c>
    </row>
    <row r="12" spans="1:35" x14ac:dyDescent="0.25">
      <c r="A12" t="s">
        <v>72</v>
      </c>
      <c r="B12">
        <v>1</v>
      </c>
      <c r="C12">
        <v>8</v>
      </c>
      <c r="D12" t="s">
        <v>42</v>
      </c>
      <c r="E12" t="s">
        <v>73</v>
      </c>
      <c r="F12" t="s">
        <v>42</v>
      </c>
      <c r="G12" t="s">
        <v>44</v>
      </c>
      <c r="H12" t="s">
        <v>42</v>
      </c>
      <c r="I12" t="s">
        <v>42</v>
      </c>
      <c r="J12" t="s">
        <v>74</v>
      </c>
      <c r="K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75</v>
      </c>
    </row>
    <row r="13" spans="1:35" x14ac:dyDescent="0.25">
      <c r="A13" t="s">
        <v>76</v>
      </c>
      <c r="B13">
        <v>1</v>
      </c>
      <c r="C13">
        <v>9</v>
      </c>
      <c r="D13" t="s">
        <v>42</v>
      </c>
      <c r="E13" t="s">
        <v>77</v>
      </c>
      <c r="F13" t="s">
        <v>42</v>
      </c>
      <c r="G13" t="s">
        <v>44</v>
      </c>
      <c r="H13" t="s">
        <v>42</v>
      </c>
      <c r="I13" t="s">
        <v>42</v>
      </c>
      <c r="J13" t="s">
        <v>78</v>
      </c>
      <c r="K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79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2</v>
      </c>
      <c r="C5">
        <v>1</v>
      </c>
      <c r="D5" t="s">
        <v>42</v>
      </c>
      <c r="E5" t="s">
        <v>81</v>
      </c>
      <c r="F5" t="s">
        <v>42</v>
      </c>
      <c r="G5" t="s">
        <v>44</v>
      </c>
      <c r="H5" t="s">
        <v>42</v>
      </c>
      <c r="I5" t="s">
        <v>42</v>
      </c>
      <c r="J5" t="s">
        <v>82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83</v>
      </c>
    </row>
    <row r="6" spans="1:35" x14ac:dyDescent="0.25">
      <c r="A6" t="s">
        <v>48</v>
      </c>
      <c r="B6">
        <v>2</v>
      </c>
      <c r="C6">
        <v>2</v>
      </c>
      <c r="D6" t="s">
        <v>42</v>
      </c>
      <c r="E6" t="s">
        <v>84</v>
      </c>
      <c r="F6" t="s">
        <v>42</v>
      </c>
      <c r="G6" t="s">
        <v>85</v>
      </c>
      <c r="H6" t="s">
        <v>42</v>
      </c>
      <c r="I6" t="s">
        <v>42</v>
      </c>
      <c r="J6" t="s">
        <v>86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92</v>
      </c>
    </row>
    <row r="7" spans="1:35" x14ac:dyDescent="0.25">
      <c r="A7" t="s">
        <v>52</v>
      </c>
      <c r="B7">
        <v>2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93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  <row r="8" spans="1:35" x14ac:dyDescent="0.25">
      <c r="A8" t="s">
        <v>56</v>
      </c>
      <c r="B8">
        <v>2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87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 t="s">
        <v>60</v>
      </c>
      <c r="B9">
        <v>2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46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2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87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2</v>
      </c>
      <c r="C11">
        <v>7</v>
      </c>
      <c r="D11">
        <v>8</v>
      </c>
      <c r="E11" t="s">
        <v>94</v>
      </c>
      <c r="F11" t="s">
        <v>42</v>
      </c>
      <c r="G11" t="s">
        <v>85</v>
      </c>
      <c r="H11" t="s">
        <v>42</v>
      </c>
      <c r="I11" t="s">
        <v>95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46</v>
      </c>
      <c r="Z11" t="s">
        <v>42</v>
      </c>
      <c r="AA11" t="s">
        <v>42</v>
      </c>
      <c r="AB11" t="s">
        <v>42</v>
      </c>
      <c r="AC11" t="s">
        <v>96</v>
      </c>
      <c r="AD11" t="s">
        <v>89</v>
      </c>
      <c r="AE11" t="s">
        <v>97</v>
      </c>
      <c r="AF11" t="s">
        <v>42</v>
      </c>
      <c r="AG11" t="s">
        <v>42</v>
      </c>
      <c r="AH11" t="s">
        <v>42</v>
      </c>
      <c r="AI11" t="s">
        <v>98</v>
      </c>
    </row>
    <row r="12" spans="1:35" x14ac:dyDescent="0.25">
      <c r="A12" t="s">
        <v>95</v>
      </c>
      <c r="B12">
        <v>2</v>
      </c>
      <c r="C12">
        <v>8</v>
      </c>
      <c r="D12" t="s">
        <v>99</v>
      </c>
      <c r="E12" t="s">
        <v>100</v>
      </c>
      <c r="F12" t="s">
        <v>42</v>
      </c>
      <c r="G12" t="s">
        <v>85</v>
      </c>
      <c r="H12" t="s">
        <v>42</v>
      </c>
      <c r="I12">
        <v>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101</v>
      </c>
      <c r="AD12" t="s">
        <v>102</v>
      </c>
      <c r="AE12" t="s">
        <v>103</v>
      </c>
      <c r="AF12" t="s">
        <v>42</v>
      </c>
      <c r="AG12" t="s">
        <v>42</v>
      </c>
      <c r="AH12" t="s">
        <v>42</v>
      </c>
      <c r="AI12" t="s">
        <v>104</v>
      </c>
    </row>
    <row r="13" spans="1:35" x14ac:dyDescent="0.25">
      <c r="A13" t="s">
        <v>99</v>
      </c>
      <c r="B13">
        <v>2</v>
      </c>
      <c r="C13">
        <v>9</v>
      </c>
      <c r="D13" t="s">
        <v>42</v>
      </c>
      <c r="E13" t="s">
        <v>105</v>
      </c>
      <c r="F13" t="s">
        <v>42</v>
      </c>
      <c r="G13" t="s">
        <v>85</v>
      </c>
      <c r="H13" t="s">
        <v>42</v>
      </c>
      <c r="I13" t="s">
        <v>42</v>
      </c>
      <c r="J13" t="s">
        <v>106</v>
      </c>
      <c r="K13">
        <v>1</v>
      </c>
      <c r="L13">
        <f>SUM($K$5:K13)</f>
        <v>16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101</v>
      </c>
      <c r="AD13" t="s">
        <v>107</v>
      </c>
      <c r="AE13" t="s">
        <v>103</v>
      </c>
      <c r="AF13" t="s">
        <v>42</v>
      </c>
      <c r="AG13">
        <v>1</v>
      </c>
      <c r="AH13" t="s">
        <v>108</v>
      </c>
      <c r="AI13" t="s">
        <v>109</v>
      </c>
    </row>
    <row r="14" spans="1:35" x14ac:dyDescent="0.25">
      <c r="A14" t="s">
        <v>72</v>
      </c>
      <c r="B14">
        <v>2</v>
      </c>
      <c r="C14">
        <v>10</v>
      </c>
      <c r="D14" t="s">
        <v>42</v>
      </c>
      <c r="E14" t="s">
        <v>110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1</v>
      </c>
      <c r="L14">
        <f>SUM($K$5:K14)</f>
        <v>17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76</v>
      </c>
      <c r="B15">
        <v>2</v>
      </c>
      <c r="C15">
        <v>11</v>
      </c>
      <c r="D15" t="s">
        <v>42</v>
      </c>
      <c r="E15" t="s">
        <v>111</v>
      </c>
      <c r="F15" t="s">
        <v>42</v>
      </c>
      <c r="G15" t="s">
        <v>85</v>
      </c>
      <c r="H15" t="s">
        <v>42</v>
      </c>
      <c r="I15" t="s">
        <v>42</v>
      </c>
      <c r="J15" t="s">
        <v>112</v>
      </c>
      <c r="K15">
        <v>1</v>
      </c>
      <c r="L15">
        <f>SUM($K$5:K15)</f>
        <v>18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3</v>
      </c>
      <c r="C5">
        <v>1</v>
      </c>
      <c r="D5" t="s">
        <v>42</v>
      </c>
      <c r="E5" t="s">
        <v>114</v>
      </c>
      <c r="F5" t="s">
        <v>42</v>
      </c>
      <c r="G5" t="s">
        <v>85</v>
      </c>
      <c r="H5" t="s">
        <v>42</v>
      </c>
      <c r="I5" t="s">
        <v>42</v>
      </c>
      <c r="J5" t="s">
        <v>82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83</v>
      </c>
    </row>
    <row r="6" spans="1:35" x14ac:dyDescent="0.25">
      <c r="A6" t="s">
        <v>48</v>
      </c>
      <c r="B6">
        <v>3</v>
      </c>
      <c r="C6">
        <v>2</v>
      </c>
      <c r="D6" t="s">
        <v>42</v>
      </c>
      <c r="E6" t="s">
        <v>115</v>
      </c>
      <c r="F6" t="s">
        <v>42</v>
      </c>
      <c r="G6" t="s">
        <v>85</v>
      </c>
      <c r="H6" t="s">
        <v>42</v>
      </c>
      <c r="I6" t="s">
        <v>42</v>
      </c>
      <c r="J6" t="s">
        <v>116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3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118</v>
      </c>
      <c r="AD7" t="s">
        <v>119</v>
      </c>
      <c r="AE7" t="s">
        <v>120</v>
      </c>
      <c r="AF7" t="s">
        <v>42</v>
      </c>
      <c r="AG7">
        <v>1</v>
      </c>
      <c r="AH7" t="s">
        <v>121</v>
      </c>
      <c r="AI7" t="s">
        <v>42</v>
      </c>
    </row>
    <row r="8" spans="1:35" x14ac:dyDescent="0.25">
      <c r="A8" t="s">
        <v>56</v>
      </c>
      <c r="B8">
        <v>3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87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3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87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3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87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3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87</v>
      </c>
      <c r="AB11" t="s">
        <v>42</v>
      </c>
      <c r="AC11" t="s">
        <v>125</v>
      </c>
      <c r="AD11" t="s">
        <v>126</v>
      </c>
      <c r="AE11" t="s">
        <v>127</v>
      </c>
      <c r="AF11" t="s">
        <v>42</v>
      </c>
      <c r="AG11">
        <v>1</v>
      </c>
      <c r="AH11" t="s">
        <v>128</v>
      </c>
      <c r="AI11" t="s">
        <v>129</v>
      </c>
    </row>
    <row r="12" spans="1:35" x14ac:dyDescent="0.25">
      <c r="A12" t="s">
        <v>72</v>
      </c>
      <c r="B12">
        <v>3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3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3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3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3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3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134</v>
      </c>
      <c r="B18">
        <v>3</v>
      </c>
      <c r="C18">
        <v>14</v>
      </c>
      <c r="D18" t="s">
        <v>42</v>
      </c>
      <c r="E18" t="s">
        <v>135</v>
      </c>
      <c r="F18" t="s">
        <v>42</v>
      </c>
      <c r="G18" t="s">
        <v>85</v>
      </c>
      <c r="H18" t="s">
        <v>42</v>
      </c>
      <c r="I18" t="s">
        <v>42</v>
      </c>
      <c r="J18" t="s">
        <v>136</v>
      </c>
      <c r="K18">
        <v>1</v>
      </c>
      <c r="L18">
        <f>SUM($K$5:K18)</f>
        <v>26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4</v>
      </c>
      <c r="C5">
        <v>1</v>
      </c>
      <c r="D5" t="s">
        <v>42</v>
      </c>
      <c r="E5" t="s">
        <v>138</v>
      </c>
      <c r="F5" t="s">
        <v>42</v>
      </c>
      <c r="G5" t="s">
        <v>85</v>
      </c>
      <c r="H5" t="s">
        <v>42</v>
      </c>
      <c r="I5" t="s">
        <v>42</v>
      </c>
      <c r="J5" t="s">
        <v>139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140</v>
      </c>
    </row>
    <row r="6" spans="1:35" x14ac:dyDescent="0.25">
      <c r="A6" t="s">
        <v>48</v>
      </c>
      <c r="B6">
        <v>4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4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141</v>
      </c>
      <c r="AD7" t="s">
        <v>89</v>
      </c>
      <c r="AE7" t="s">
        <v>90</v>
      </c>
      <c r="AF7" t="s">
        <v>42</v>
      </c>
      <c r="AG7">
        <v>1</v>
      </c>
      <c r="AH7" t="s">
        <v>142</v>
      </c>
      <c r="AI7" t="s">
        <v>42</v>
      </c>
    </row>
    <row r="8" spans="1:35" x14ac:dyDescent="0.25">
      <c r="A8" t="s">
        <v>56</v>
      </c>
      <c r="B8">
        <v>4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4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87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4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87</v>
      </c>
      <c r="Y10" t="s">
        <v>42</v>
      </c>
      <c r="Z10" t="s">
        <v>42</v>
      </c>
      <c r="AA10" t="s">
        <v>42</v>
      </c>
      <c r="AB10" t="s">
        <v>42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4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87</v>
      </c>
      <c r="AC11" t="s">
        <v>143</v>
      </c>
      <c r="AD11" t="s">
        <v>144</v>
      </c>
      <c r="AE11" t="s">
        <v>127</v>
      </c>
      <c r="AF11" t="s">
        <v>42</v>
      </c>
      <c r="AG11">
        <v>1</v>
      </c>
      <c r="AH11" t="s">
        <v>128</v>
      </c>
      <c r="AI11" t="s">
        <v>129</v>
      </c>
    </row>
    <row r="12" spans="1:35" x14ac:dyDescent="0.25">
      <c r="A12" t="s">
        <v>72</v>
      </c>
      <c r="B12">
        <v>4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87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4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46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4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4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46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4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46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4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46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4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4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147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87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4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87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4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87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150</v>
      </c>
      <c r="B22">
        <v>4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87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151</v>
      </c>
      <c r="B23">
        <v>4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46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152</v>
      </c>
      <c r="B24">
        <v>4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46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46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153</v>
      </c>
      <c r="B25">
        <v>4</v>
      </c>
      <c r="C25">
        <v>21</v>
      </c>
      <c r="D25" t="s">
        <v>42</v>
      </c>
      <c r="E25" t="s">
        <v>42</v>
      </c>
      <c r="F25" t="s">
        <v>42</v>
      </c>
      <c r="G25" t="s">
        <v>85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46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154</v>
      </c>
      <c r="B26">
        <v>4</v>
      </c>
      <c r="C26">
        <v>22</v>
      </c>
      <c r="D26">
        <v>23</v>
      </c>
      <c r="E26" t="s">
        <v>42</v>
      </c>
      <c r="F26" t="s">
        <v>42</v>
      </c>
      <c r="G26" t="s">
        <v>85</v>
      </c>
      <c r="H26" t="s">
        <v>42</v>
      </c>
      <c r="I26" t="s">
        <v>48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101</v>
      </c>
      <c r="AD26" t="s">
        <v>102</v>
      </c>
      <c r="AE26" t="s">
        <v>155</v>
      </c>
      <c r="AF26" t="s">
        <v>42</v>
      </c>
      <c r="AG26">
        <v>1</v>
      </c>
      <c r="AH26" t="s">
        <v>42</v>
      </c>
      <c r="AI26" t="s">
        <v>156</v>
      </c>
    </row>
    <row r="27" spans="1:35" x14ac:dyDescent="0.25">
      <c r="A27" t="s">
        <v>157</v>
      </c>
      <c r="B27">
        <v>4</v>
      </c>
      <c r="C27">
        <v>23</v>
      </c>
      <c r="D27" t="s">
        <v>42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140</v>
      </c>
    </row>
    <row r="28" spans="1:35" x14ac:dyDescent="0.25">
      <c r="A28" t="s">
        <v>158</v>
      </c>
      <c r="B28">
        <v>4</v>
      </c>
      <c r="C28">
        <v>24</v>
      </c>
      <c r="D28" t="s">
        <v>42</v>
      </c>
      <c r="E28" t="s">
        <v>159</v>
      </c>
      <c r="F28" t="s">
        <v>42</v>
      </c>
      <c r="G28" t="s">
        <v>85</v>
      </c>
      <c r="H28" t="s">
        <v>42</v>
      </c>
      <c r="I28" t="s">
        <v>42</v>
      </c>
      <c r="J28" t="s">
        <v>160</v>
      </c>
      <c r="K28">
        <v>1</v>
      </c>
      <c r="L28">
        <f>SUM($K$5:K28)</f>
        <v>46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5</v>
      </c>
      <c r="C5">
        <v>1</v>
      </c>
      <c r="D5" t="s">
        <v>42</v>
      </c>
      <c r="E5" t="s">
        <v>162</v>
      </c>
      <c r="F5" t="s">
        <v>42</v>
      </c>
      <c r="G5" t="s">
        <v>85</v>
      </c>
      <c r="H5" t="s">
        <v>42</v>
      </c>
      <c r="I5" t="s">
        <v>42</v>
      </c>
      <c r="J5" t="s">
        <v>163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</row>
    <row r="6" spans="1:35" x14ac:dyDescent="0.25">
      <c r="A6" t="s">
        <v>48</v>
      </c>
      <c r="B6">
        <v>5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42</v>
      </c>
    </row>
    <row r="7" spans="1:35" x14ac:dyDescent="0.25">
      <c r="A7" t="s">
        <v>52</v>
      </c>
      <c r="B7">
        <v>5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141</v>
      </c>
      <c r="AD7" t="s">
        <v>89</v>
      </c>
      <c r="AE7" t="s">
        <v>90</v>
      </c>
      <c r="AF7" t="s">
        <v>42</v>
      </c>
      <c r="AG7">
        <v>1</v>
      </c>
      <c r="AH7" t="s">
        <v>142</v>
      </c>
      <c r="AI7" t="s">
        <v>42</v>
      </c>
    </row>
    <row r="8" spans="1:35" x14ac:dyDescent="0.25">
      <c r="A8" t="s">
        <v>56</v>
      </c>
      <c r="B8">
        <v>5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87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5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87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5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87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5</v>
      </c>
      <c r="C11">
        <v>7</v>
      </c>
      <c r="D11" t="s">
        <v>95</v>
      </c>
      <c r="E11" t="s">
        <v>42</v>
      </c>
      <c r="F11" t="s">
        <v>164</v>
      </c>
      <c r="G11" t="s">
        <v>85</v>
      </c>
      <c r="H11" t="s">
        <v>42</v>
      </c>
      <c r="I11" t="s">
        <v>42</v>
      </c>
      <c r="J11" t="s">
        <v>165</v>
      </c>
      <c r="K11">
        <v>60</v>
      </c>
      <c r="L11">
        <f>SUM($K$5:K11)</f>
        <v>71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87</v>
      </c>
      <c r="AB11" t="s">
        <v>42</v>
      </c>
      <c r="AC11" t="s">
        <v>96</v>
      </c>
      <c r="AD11" t="s">
        <v>89</v>
      </c>
      <c r="AE11" t="s">
        <v>90</v>
      </c>
      <c r="AF11" t="s">
        <v>42</v>
      </c>
      <c r="AG11">
        <v>1</v>
      </c>
      <c r="AH11" t="s">
        <v>166</v>
      </c>
      <c r="AI11" t="s">
        <v>167</v>
      </c>
    </row>
    <row r="12" spans="1:35" x14ac:dyDescent="0.25">
      <c r="A12" t="s">
        <v>95</v>
      </c>
      <c r="B12">
        <v>5</v>
      </c>
      <c r="C12">
        <v>8</v>
      </c>
      <c r="D12" t="s">
        <v>72</v>
      </c>
      <c r="E12" t="s">
        <v>42</v>
      </c>
      <c r="F12" t="s">
        <v>42</v>
      </c>
      <c r="G12" t="s">
        <v>85</v>
      </c>
      <c r="H12" t="s">
        <v>42</v>
      </c>
      <c r="I12" t="s">
        <v>68</v>
      </c>
      <c r="J12" t="s">
        <v>42</v>
      </c>
      <c r="K12">
        <v>1</v>
      </c>
      <c r="L12">
        <f>SUM($K$5:K12)</f>
        <v>72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101</v>
      </c>
      <c r="AD12" t="s">
        <v>102</v>
      </c>
      <c r="AE12" t="s">
        <v>168</v>
      </c>
      <c r="AF12" t="s">
        <v>42</v>
      </c>
      <c r="AG12">
        <v>1</v>
      </c>
      <c r="AH12" t="s">
        <v>42</v>
      </c>
      <c r="AI12" t="s">
        <v>169</v>
      </c>
    </row>
    <row r="13" spans="1:35" x14ac:dyDescent="0.25">
      <c r="A13" t="s">
        <v>72</v>
      </c>
      <c r="B13">
        <v>5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1</v>
      </c>
      <c r="L13">
        <f>SUM($K$5:K13)</f>
        <v>73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46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76</v>
      </c>
      <c r="B14">
        <v>5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75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130</v>
      </c>
      <c r="B15">
        <v>5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77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46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131</v>
      </c>
      <c r="B16">
        <v>5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79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46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132</v>
      </c>
      <c r="B17">
        <v>5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81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46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133</v>
      </c>
      <c r="B18">
        <v>5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83</v>
      </c>
      <c r="M18" t="s">
        <v>42</v>
      </c>
      <c r="N18" t="s">
        <v>42</v>
      </c>
      <c r="O18" t="s">
        <v>42</v>
      </c>
      <c r="P18" t="s">
        <v>42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145</v>
      </c>
      <c r="B19">
        <v>5</v>
      </c>
      <c r="C19">
        <v>15</v>
      </c>
      <c r="D19" t="s">
        <v>42</v>
      </c>
      <c r="E19" t="s">
        <v>170</v>
      </c>
      <c r="F19" t="s">
        <v>42</v>
      </c>
      <c r="G19" t="s">
        <v>85</v>
      </c>
      <c r="H19" t="s">
        <v>42</v>
      </c>
      <c r="I19" t="s">
        <v>42</v>
      </c>
      <c r="J19" t="s">
        <v>171</v>
      </c>
      <c r="K19">
        <v>1</v>
      </c>
      <c r="L19">
        <f>SUM($K$5:K19)</f>
        <v>84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6</v>
      </c>
      <c r="C5">
        <v>1</v>
      </c>
      <c r="D5" t="s">
        <v>42</v>
      </c>
      <c r="E5" t="s">
        <v>173</v>
      </c>
      <c r="F5" t="s">
        <v>42</v>
      </c>
      <c r="G5" t="s">
        <v>85</v>
      </c>
      <c r="H5" t="s">
        <v>42</v>
      </c>
      <c r="I5" t="s">
        <v>42</v>
      </c>
      <c r="J5" t="s">
        <v>174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140</v>
      </c>
    </row>
    <row r="6" spans="1:35" x14ac:dyDescent="0.25">
      <c r="A6" t="s">
        <v>48</v>
      </c>
      <c r="B6">
        <v>6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6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6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129</v>
      </c>
    </row>
    <row r="9" spans="1:35" x14ac:dyDescent="0.25">
      <c r="A9" t="s">
        <v>60</v>
      </c>
      <c r="B9">
        <v>6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6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6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6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6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6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6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6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6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6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6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6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6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178</v>
      </c>
      <c r="AF21" t="s">
        <v>42</v>
      </c>
      <c r="AG21">
        <v>1</v>
      </c>
      <c r="AH21" t="s">
        <v>42</v>
      </c>
      <c r="AI21" t="s">
        <v>179</v>
      </c>
    </row>
    <row r="22" spans="1:35" x14ac:dyDescent="0.25">
      <c r="A22" t="s">
        <v>152</v>
      </c>
      <c r="B22">
        <v>6</v>
      </c>
      <c r="C22">
        <v>18</v>
      </c>
      <c r="D22" t="s">
        <v>42</v>
      </c>
      <c r="E22" t="s">
        <v>180</v>
      </c>
      <c r="F22" t="s">
        <v>42</v>
      </c>
      <c r="G22" t="s">
        <v>85</v>
      </c>
      <c r="H22" t="s">
        <v>42</v>
      </c>
      <c r="I22" t="s">
        <v>42</v>
      </c>
      <c r="J22" t="s">
        <v>181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7</v>
      </c>
      <c r="C5">
        <v>1</v>
      </c>
      <c r="D5" t="s">
        <v>42</v>
      </c>
      <c r="E5" t="s">
        <v>183</v>
      </c>
      <c r="F5" t="s">
        <v>42</v>
      </c>
      <c r="G5" t="s">
        <v>85</v>
      </c>
      <c r="H5" t="s">
        <v>42</v>
      </c>
      <c r="I5" t="s">
        <v>42</v>
      </c>
      <c r="J5" t="s">
        <v>184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140</v>
      </c>
    </row>
    <row r="6" spans="1:35" x14ac:dyDescent="0.25">
      <c r="A6" t="s">
        <v>48</v>
      </c>
      <c r="B6">
        <v>7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42</v>
      </c>
    </row>
    <row r="7" spans="1:35" x14ac:dyDescent="0.25">
      <c r="A7">
        <v>3</v>
      </c>
      <c r="B7">
        <v>7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96</v>
      </c>
      <c r="AD7" t="s">
        <v>89</v>
      </c>
      <c r="AE7" t="s">
        <v>90</v>
      </c>
      <c r="AF7" t="s">
        <v>42</v>
      </c>
      <c r="AG7">
        <v>1</v>
      </c>
      <c r="AH7" t="s">
        <v>185</v>
      </c>
      <c r="AI7" t="s">
        <v>42</v>
      </c>
    </row>
    <row r="8" spans="1:35" x14ac:dyDescent="0.25">
      <c r="A8">
        <v>4</v>
      </c>
      <c r="B8">
        <v>7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46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</row>
    <row r="9" spans="1:35" x14ac:dyDescent="0.25">
      <c r="A9">
        <v>5</v>
      </c>
      <c r="B9">
        <v>7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>
        <v>6</v>
      </c>
      <c r="B10">
        <v>7</v>
      </c>
      <c r="C10">
        <v>6</v>
      </c>
      <c r="D10" t="s">
        <v>186</v>
      </c>
      <c r="E10" t="s">
        <v>42</v>
      </c>
      <c r="F10" t="s">
        <v>164</v>
      </c>
      <c r="G10" t="s">
        <v>85</v>
      </c>
      <c r="H10" t="s">
        <v>42</v>
      </c>
      <c r="I10" t="s">
        <v>42</v>
      </c>
      <c r="J10" t="s">
        <v>187</v>
      </c>
      <c r="K10">
        <v>60</v>
      </c>
      <c r="L10">
        <f>SUM($K$5:K10)</f>
        <v>69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96</v>
      </c>
      <c r="AD10" t="s">
        <v>89</v>
      </c>
      <c r="AE10" t="s">
        <v>90</v>
      </c>
      <c r="AF10" t="s">
        <v>42</v>
      </c>
      <c r="AG10">
        <v>1</v>
      </c>
      <c r="AH10" t="s">
        <v>188</v>
      </c>
      <c r="AI10" t="s">
        <v>189</v>
      </c>
    </row>
    <row r="11" spans="1:35" x14ac:dyDescent="0.25">
      <c r="A11" t="s">
        <v>186</v>
      </c>
      <c r="B11">
        <v>7</v>
      </c>
      <c r="C11">
        <v>7</v>
      </c>
      <c r="D11">
        <v>7</v>
      </c>
      <c r="E11" t="s">
        <v>42</v>
      </c>
      <c r="F11" t="s">
        <v>42</v>
      </c>
      <c r="G11" t="s">
        <v>85</v>
      </c>
      <c r="H11" t="s">
        <v>42</v>
      </c>
      <c r="I11">
        <v>6</v>
      </c>
      <c r="J11" t="s">
        <v>42</v>
      </c>
      <c r="K11">
        <v>1</v>
      </c>
      <c r="L11">
        <f>SUM($K$5:K11)</f>
        <v>70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101</v>
      </c>
      <c r="AD11" t="s">
        <v>102</v>
      </c>
      <c r="AE11" t="s">
        <v>190</v>
      </c>
      <c r="AF11" t="s">
        <v>42</v>
      </c>
      <c r="AG11">
        <v>1</v>
      </c>
      <c r="AH11" t="s">
        <v>42</v>
      </c>
      <c r="AI11" t="s">
        <v>191</v>
      </c>
    </row>
    <row r="12" spans="1:35" x14ac:dyDescent="0.25">
      <c r="A12">
        <v>7</v>
      </c>
      <c r="B12">
        <v>7</v>
      </c>
      <c r="C12">
        <v>8</v>
      </c>
      <c r="D12" t="s">
        <v>95</v>
      </c>
      <c r="E12" t="s">
        <v>42</v>
      </c>
      <c r="F12" t="s">
        <v>164</v>
      </c>
      <c r="G12" t="s">
        <v>85</v>
      </c>
      <c r="H12" t="s">
        <v>42</v>
      </c>
      <c r="I12" t="s">
        <v>42</v>
      </c>
      <c r="J12" t="s">
        <v>192</v>
      </c>
      <c r="K12">
        <v>60</v>
      </c>
      <c r="L12">
        <f>SUM($K$5:K12)</f>
        <v>130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96</v>
      </c>
      <c r="AD12" t="s">
        <v>89</v>
      </c>
      <c r="AE12" t="s">
        <v>90</v>
      </c>
      <c r="AF12" t="s">
        <v>42</v>
      </c>
      <c r="AG12">
        <v>1</v>
      </c>
      <c r="AH12" t="s">
        <v>188</v>
      </c>
      <c r="AI12" t="s">
        <v>167</v>
      </c>
    </row>
    <row r="13" spans="1:35" x14ac:dyDescent="0.25">
      <c r="A13" t="s">
        <v>95</v>
      </c>
      <c r="B13">
        <v>7</v>
      </c>
      <c r="C13">
        <v>9</v>
      </c>
      <c r="D13">
        <v>8</v>
      </c>
      <c r="E13" t="s">
        <v>42</v>
      </c>
      <c r="F13" t="s">
        <v>42</v>
      </c>
      <c r="G13" t="s">
        <v>85</v>
      </c>
      <c r="H13" t="s">
        <v>42</v>
      </c>
      <c r="I13">
        <v>7</v>
      </c>
      <c r="J13" t="s">
        <v>42</v>
      </c>
      <c r="K13">
        <v>1</v>
      </c>
      <c r="L13">
        <f>SUM($K$5:K13)</f>
        <v>131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101</v>
      </c>
      <c r="AD13" t="s">
        <v>102</v>
      </c>
      <c r="AE13" t="s">
        <v>193</v>
      </c>
      <c r="AF13" t="s">
        <v>42</v>
      </c>
      <c r="AG13">
        <v>1</v>
      </c>
      <c r="AH13" t="s">
        <v>42</v>
      </c>
      <c r="AI13" t="s">
        <v>194</v>
      </c>
    </row>
    <row r="14" spans="1:35" x14ac:dyDescent="0.25">
      <c r="A14">
        <v>8</v>
      </c>
      <c r="B14">
        <v>7</v>
      </c>
      <c r="C14">
        <v>10</v>
      </c>
      <c r="D14" t="s">
        <v>42</v>
      </c>
      <c r="E14" t="s">
        <v>195</v>
      </c>
      <c r="F14" t="s">
        <v>42</v>
      </c>
      <c r="G14" t="s">
        <v>85</v>
      </c>
      <c r="H14" t="s">
        <v>42</v>
      </c>
      <c r="I14" t="s">
        <v>42</v>
      </c>
      <c r="J14" t="s">
        <v>196</v>
      </c>
      <c r="K14">
        <v>1</v>
      </c>
      <c r="L14">
        <f>SUM($K$5:K14)</f>
        <v>132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8</v>
      </c>
      <c r="C5">
        <v>1</v>
      </c>
      <c r="D5" t="s">
        <v>42</v>
      </c>
      <c r="E5" t="s">
        <v>198</v>
      </c>
      <c r="F5" t="s">
        <v>42</v>
      </c>
      <c r="G5" t="s">
        <v>85</v>
      </c>
      <c r="H5" t="s">
        <v>42</v>
      </c>
      <c r="I5" t="s">
        <v>42</v>
      </c>
      <c r="J5" t="s">
        <v>199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200</v>
      </c>
    </row>
    <row r="6" spans="1:35" x14ac:dyDescent="0.25">
      <c r="A6" t="s">
        <v>48</v>
      </c>
      <c r="B6">
        <v>8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201</v>
      </c>
    </row>
    <row r="7" spans="1:35" x14ac:dyDescent="0.25">
      <c r="A7" t="s">
        <v>52</v>
      </c>
      <c r="B7">
        <v>8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8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42</v>
      </c>
    </row>
    <row r="9" spans="1:35" x14ac:dyDescent="0.25">
      <c r="A9" t="s">
        <v>60</v>
      </c>
      <c r="B9">
        <v>8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8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8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8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8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8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8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8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8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8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8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8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8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202</v>
      </c>
      <c r="AF21" t="s">
        <v>42</v>
      </c>
      <c r="AG21">
        <v>1</v>
      </c>
      <c r="AH21" t="s">
        <v>42</v>
      </c>
      <c r="AI21" t="s">
        <v>203</v>
      </c>
    </row>
    <row r="22" spans="1:35" x14ac:dyDescent="0.25">
      <c r="A22" t="s">
        <v>152</v>
      </c>
      <c r="B22">
        <v>8</v>
      </c>
      <c r="C22">
        <v>18</v>
      </c>
      <c r="D22" t="s">
        <v>42</v>
      </c>
      <c r="E22" t="s">
        <v>204</v>
      </c>
      <c r="F22" t="s">
        <v>42</v>
      </c>
      <c r="G22" t="s">
        <v>85</v>
      </c>
      <c r="H22" t="s">
        <v>42</v>
      </c>
      <c r="I22" t="s">
        <v>42</v>
      </c>
      <c r="J22" t="s">
        <v>205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s="3" customFormat="1" x14ac:dyDescent="0.25">
      <c r="K3" s="3" t="s">
        <v>5</v>
      </c>
      <c r="L3" s="3" t="s">
        <v>5</v>
      </c>
    </row>
    <row r="4" spans="1:24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22</v>
      </c>
      <c r="N4" s="2" t="s">
        <v>31</v>
      </c>
      <c r="O4" s="2" t="s">
        <v>29</v>
      </c>
      <c r="P4" s="2" t="s">
        <v>19</v>
      </c>
      <c r="Q4" s="2" t="s">
        <v>18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39</v>
      </c>
      <c r="X4" s="2" t="s">
        <v>40</v>
      </c>
    </row>
    <row r="5" spans="1:24" x14ac:dyDescent="0.25">
      <c r="A5" t="s">
        <v>41</v>
      </c>
      <c r="B5">
        <v>9</v>
      </c>
      <c r="C5">
        <v>1</v>
      </c>
      <c r="D5" t="s">
        <v>42</v>
      </c>
      <c r="E5" t="s">
        <v>207</v>
      </c>
      <c r="F5" t="s">
        <v>42</v>
      </c>
      <c r="G5" t="s">
        <v>85</v>
      </c>
      <c r="H5" t="s">
        <v>42</v>
      </c>
      <c r="I5" t="s">
        <v>42</v>
      </c>
      <c r="J5" t="s">
        <v>208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209</v>
      </c>
    </row>
    <row r="6" spans="1:24" x14ac:dyDescent="0.25">
      <c r="A6" t="s">
        <v>48</v>
      </c>
      <c r="B6">
        <v>9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42</v>
      </c>
      <c r="K6">
        <v>4</v>
      </c>
      <c r="L6">
        <f>SUM($K$5:K6)</f>
        <v>5</v>
      </c>
      <c r="M6" t="s">
        <v>87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</row>
    <row r="7" spans="1:24" x14ac:dyDescent="0.25">
      <c r="A7" t="s">
        <v>52</v>
      </c>
      <c r="B7">
        <v>9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7</v>
      </c>
      <c r="M7" t="s">
        <v>42</v>
      </c>
      <c r="N7" t="s">
        <v>87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</row>
    <row r="8" spans="1:24" x14ac:dyDescent="0.25">
      <c r="A8" t="s">
        <v>56</v>
      </c>
      <c r="B8">
        <v>9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210</v>
      </c>
      <c r="K8">
        <v>6</v>
      </c>
      <c r="L8">
        <f>SUM($K$5:K8)</f>
        <v>13</v>
      </c>
      <c r="M8" t="s">
        <v>42</v>
      </c>
      <c r="N8" t="s">
        <v>42</v>
      </c>
      <c r="O8" t="s">
        <v>87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</row>
    <row r="9" spans="1:24" x14ac:dyDescent="0.25">
      <c r="A9" t="s">
        <v>60</v>
      </c>
      <c r="B9">
        <v>9</v>
      </c>
      <c r="C9">
        <v>5</v>
      </c>
      <c r="D9">
        <v>6</v>
      </c>
      <c r="E9" t="s">
        <v>42</v>
      </c>
      <c r="F9" t="s">
        <v>42</v>
      </c>
      <c r="G9" t="s">
        <v>85</v>
      </c>
      <c r="H9" t="s">
        <v>42</v>
      </c>
      <c r="I9">
        <v>5</v>
      </c>
      <c r="J9" t="s">
        <v>42</v>
      </c>
      <c r="K9">
        <v>60</v>
      </c>
      <c r="L9">
        <f>SUM($K$5:K9)</f>
        <v>73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101</v>
      </c>
      <c r="S9" t="s">
        <v>102</v>
      </c>
      <c r="T9" t="s">
        <v>211</v>
      </c>
      <c r="U9" t="s">
        <v>42</v>
      </c>
      <c r="V9">
        <v>1</v>
      </c>
      <c r="W9" t="s">
        <v>42</v>
      </c>
      <c r="X9" t="s">
        <v>212</v>
      </c>
    </row>
    <row r="10" spans="1:24" x14ac:dyDescent="0.25">
      <c r="A10" t="s">
        <v>64</v>
      </c>
      <c r="B10">
        <v>9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75</v>
      </c>
      <c r="M10" t="s">
        <v>42</v>
      </c>
      <c r="N10" t="s">
        <v>42</v>
      </c>
      <c r="O10" t="s">
        <v>46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</row>
    <row r="11" spans="1:24" x14ac:dyDescent="0.25">
      <c r="A11" t="s">
        <v>68</v>
      </c>
      <c r="B11">
        <v>9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4</v>
      </c>
      <c r="L11">
        <f>SUM($K$5:K11)</f>
        <v>79</v>
      </c>
      <c r="M11" t="s">
        <v>42</v>
      </c>
      <c r="N11" t="s">
        <v>46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</row>
    <row r="12" spans="1:24" x14ac:dyDescent="0.25">
      <c r="A12" t="s">
        <v>72</v>
      </c>
      <c r="B12">
        <v>9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213</v>
      </c>
      <c r="K12">
        <v>2</v>
      </c>
      <c r="L12">
        <f>SUM($K$5:K12)</f>
        <v>81</v>
      </c>
      <c r="M12" t="s">
        <v>46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</row>
    <row r="13" spans="1:24" x14ac:dyDescent="0.25">
      <c r="A13" t="s">
        <v>76</v>
      </c>
      <c r="B13">
        <v>9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4</v>
      </c>
      <c r="L13">
        <f>SUM($K$5:K13)</f>
        <v>85</v>
      </c>
      <c r="M13" t="s">
        <v>42</v>
      </c>
      <c r="N13" t="s">
        <v>42</v>
      </c>
      <c r="O13" t="s">
        <v>42</v>
      </c>
      <c r="P13" t="s">
        <v>87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</row>
    <row r="14" spans="1:24" x14ac:dyDescent="0.25">
      <c r="A14" t="s">
        <v>130</v>
      </c>
      <c r="B14">
        <v>9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87</v>
      </c>
      <c r="M14" t="s">
        <v>42</v>
      </c>
      <c r="N14" t="s">
        <v>42</v>
      </c>
      <c r="O14" t="s">
        <v>42</v>
      </c>
      <c r="P14" t="s">
        <v>42</v>
      </c>
      <c r="Q14" t="s">
        <v>87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</row>
    <row r="15" spans="1:24" x14ac:dyDescent="0.25">
      <c r="A15" t="s">
        <v>131</v>
      </c>
      <c r="B15">
        <v>9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89</v>
      </c>
      <c r="M15" t="s">
        <v>42</v>
      </c>
      <c r="N15" t="s">
        <v>87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</row>
    <row r="16" spans="1:24" x14ac:dyDescent="0.25">
      <c r="A16" t="s">
        <v>132</v>
      </c>
      <c r="B16">
        <v>9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210</v>
      </c>
      <c r="K16">
        <v>4</v>
      </c>
      <c r="L16">
        <f>SUM($K$5:K16)</f>
        <v>93</v>
      </c>
      <c r="M16" t="s">
        <v>42</v>
      </c>
      <c r="N16" t="s">
        <v>42</v>
      </c>
      <c r="O16" t="s">
        <v>87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</row>
    <row r="17" spans="1:24" x14ac:dyDescent="0.25">
      <c r="A17" t="s">
        <v>133</v>
      </c>
      <c r="B17">
        <v>9</v>
      </c>
      <c r="C17">
        <v>13</v>
      </c>
      <c r="D17">
        <v>14</v>
      </c>
      <c r="E17" t="s">
        <v>42</v>
      </c>
      <c r="F17" t="s">
        <v>42</v>
      </c>
      <c r="G17" t="s">
        <v>85</v>
      </c>
      <c r="H17" t="s">
        <v>42</v>
      </c>
      <c r="I17">
        <v>13</v>
      </c>
      <c r="J17" t="s">
        <v>42</v>
      </c>
      <c r="K17">
        <v>60</v>
      </c>
      <c r="L17">
        <f>SUM($K$5:K17)</f>
        <v>153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101</v>
      </c>
      <c r="S17" t="s">
        <v>102</v>
      </c>
      <c r="T17" t="s">
        <v>214</v>
      </c>
      <c r="U17" t="s">
        <v>42</v>
      </c>
      <c r="V17">
        <v>1</v>
      </c>
      <c r="W17" t="s">
        <v>42</v>
      </c>
      <c r="X17" t="s">
        <v>215</v>
      </c>
    </row>
    <row r="18" spans="1:24" x14ac:dyDescent="0.25">
      <c r="A18" t="s">
        <v>145</v>
      </c>
      <c r="B18">
        <v>9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1</v>
      </c>
      <c r="L18">
        <f>SUM($K$5:K18)</f>
        <v>154</v>
      </c>
      <c r="M18" t="s">
        <v>42</v>
      </c>
      <c r="N18" t="s">
        <v>42</v>
      </c>
      <c r="O18" t="s">
        <v>42</v>
      </c>
      <c r="P18" t="s">
        <v>46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</row>
    <row r="19" spans="1:24" x14ac:dyDescent="0.25">
      <c r="A19" t="s">
        <v>146</v>
      </c>
      <c r="B19">
        <v>9</v>
      </c>
      <c r="C19">
        <v>15</v>
      </c>
      <c r="D19">
        <v>16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4</v>
      </c>
      <c r="L19">
        <f>SUM($K$5:K19)</f>
        <v>158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216</v>
      </c>
      <c r="S19" t="s">
        <v>107</v>
      </c>
      <c r="T19" t="s">
        <v>217</v>
      </c>
      <c r="U19" t="s">
        <v>42</v>
      </c>
      <c r="V19">
        <v>1</v>
      </c>
      <c r="W19" t="s">
        <v>218</v>
      </c>
      <c r="X19" t="s">
        <v>219</v>
      </c>
    </row>
    <row r="20" spans="1:24" x14ac:dyDescent="0.25">
      <c r="A20" t="s">
        <v>148</v>
      </c>
      <c r="B20">
        <v>9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160</v>
      </c>
      <c r="M20" t="s">
        <v>42</v>
      </c>
      <c r="N20" t="s">
        <v>42</v>
      </c>
      <c r="O20" t="s">
        <v>46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</row>
    <row r="21" spans="1:24" x14ac:dyDescent="0.25">
      <c r="A21" t="s">
        <v>149</v>
      </c>
      <c r="B21">
        <v>9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4</v>
      </c>
      <c r="L21">
        <f>SUM($K$5:K21)</f>
        <v>164</v>
      </c>
      <c r="M21" t="s">
        <v>42</v>
      </c>
      <c r="N21" t="s">
        <v>46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</row>
    <row r="22" spans="1:24" x14ac:dyDescent="0.25">
      <c r="A22" t="s">
        <v>150</v>
      </c>
      <c r="B22">
        <v>9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220</v>
      </c>
      <c r="K22">
        <v>1</v>
      </c>
      <c r="L22">
        <f>SUM($K$5:K22)</f>
        <v>165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</row>
    <row r="23" spans="1:24" x14ac:dyDescent="0.25">
      <c r="A23" t="s">
        <v>151</v>
      </c>
      <c r="B23">
        <v>9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167</v>
      </c>
      <c r="M23" t="s">
        <v>42</v>
      </c>
      <c r="N23" t="s">
        <v>87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</row>
    <row r="24" spans="1:24" x14ac:dyDescent="0.25">
      <c r="A24" t="s">
        <v>152</v>
      </c>
      <c r="B24">
        <v>9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169</v>
      </c>
      <c r="M24" t="s">
        <v>42</v>
      </c>
      <c r="N24" t="s">
        <v>42</v>
      </c>
      <c r="O24" t="s">
        <v>87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</row>
    <row r="25" spans="1:24" x14ac:dyDescent="0.25">
      <c r="A25" t="s">
        <v>153</v>
      </c>
      <c r="B25">
        <v>9</v>
      </c>
      <c r="C25">
        <v>21</v>
      </c>
      <c r="D25" t="s">
        <v>42</v>
      </c>
      <c r="E25" t="s">
        <v>42</v>
      </c>
      <c r="F25" t="s">
        <v>221</v>
      </c>
      <c r="G25" t="s">
        <v>85</v>
      </c>
      <c r="H25" t="s">
        <v>42</v>
      </c>
      <c r="I25" t="s">
        <v>42</v>
      </c>
      <c r="J25" t="s">
        <v>222</v>
      </c>
      <c r="K25">
        <v>2</v>
      </c>
      <c r="L25">
        <f>SUM($K$5:K25)</f>
        <v>171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223</v>
      </c>
    </row>
    <row r="26" spans="1:24" x14ac:dyDescent="0.25">
      <c r="A26" t="s">
        <v>154</v>
      </c>
      <c r="B26">
        <v>9</v>
      </c>
      <c r="C26">
        <v>22</v>
      </c>
      <c r="D26">
        <v>23</v>
      </c>
      <c r="E26" t="s">
        <v>42</v>
      </c>
      <c r="F26" t="s">
        <v>42</v>
      </c>
      <c r="G26" t="s">
        <v>85</v>
      </c>
      <c r="H26" t="s">
        <v>42</v>
      </c>
      <c r="I26">
        <v>22</v>
      </c>
      <c r="J26" t="s">
        <v>42</v>
      </c>
      <c r="K26">
        <v>60</v>
      </c>
      <c r="L26">
        <f>SUM($K$5:K26)</f>
        <v>231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101</v>
      </c>
      <c r="S26" t="s">
        <v>102</v>
      </c>
      <c r="T26" t="s">
        <v>224</v>
      </c>
      <c r="U26" t="s">
        <v>42</v>
      </c>
      <c r="V26">
        <v>1</v>
      </c>
      <c r="W26" t="s">
        <v>42</v>
      </c>
      <c r="X26" t="s">
        <v>225</v>
      </c>
    </row>
    <row r="27" spans="1:24" x14ac:dyDescent="0.25">
      <c r="A27" t="s">
        <v>157</v>
      </c>
      <c r="B27">
        <v>9</v>
      </c>
      <c r="C27">
        <v>23</v>
      </c>
      <c r="D27">
        <v>24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233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226</v>
      </c>
      <c r="S27" t="s">
        <v>107</v>
      </c>
      <c r="T27" t="s">
        <v>227</v>
      </c>
      <c r="U27" t="s">
        <v>42</v>
      </c>
      <c r="V27">
        <v>1</v>
      </c>
      <c r="W27" t="s">
        <v>218</v>
      </c>
      <c r="X27" t="s">
        <v>228</v>
      </c>
    </row>
    <row r="28" spans="1:24" x14ac:dyDescent="0.25">
      <c r="A28" t="s">
        <v>158</v>
      </c>
      <c r="B28">
        <v>9</v>
      </c>
      <c r="C28">
        <v>24</v>
      </c>
      <c r="D28" t="s">
        <v>42</v>
      </c>
      <c r="E28" t="s">
        <v>42</v>
      </c>
      <c r="F28" t="s">
        <v>42</v>
      </c>
      <c r="G28" t="s">
        <v>85</v>
      </c>
      <c r="H28" t="s">
        <v>42</v>
      </c>
      <c r="I28" t="s">
        <v>42</v>
      </c>
      <c r="J28" t="s">
        <v>42</v>
      </c>
      <c r="K28">
        <v>2</v>
      </c>
      <c r="L28">
        <f>SUM($K$5:K28)</f>
        <v>235</v>
      </c>
      <c r="M28" t="s">
        <v>42</v>
      </c>
      <c r="N28" t="s">
        <v>42</v>
      </c>
      <c r="O28" t="s">
        <v>46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</row>
    <row r="29" spans="1:24" x14ac:dyDescent="0.25">
      <c r="A29" t="s">
        <v>229</v>
      </c>
      <c r="B29">
        <v>9</v>
      </c>
      <c r="C29">
        <v>25</v>
      </c>
      <c r="D29" t="s">
        <v>42</v>
      </c>
      <c r="E29" t="s">
        <v>42</v>
      </c>
      <c r="F29" t="s">
        <v>42</v>
      </c>
      <c r="G29" t="s">
        <v>85</v>
      </c>
      <c r="H29" t="s">
        <v>42</v>
      </c>
      <c r="I29" t="s">
        <v>42</v>
      </c>
      <c r="J29" t="s">
        <v>42</v>
      </c>
      <c r="K29">
        <v>2</v>
      </c>
      <c r="L29">
        <f>SUM($K$5:K29)</f>
        <v>237</v>
      </c>
      <c r="M29" t="s">
        <v>42</v>
      </c>
      <c r="N29" t="s">
        <v>46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</row>
    <row r="30" spans="1:24" x14ac:dyDescent="0.25">
      <c r="A30" t="s">
        <v>230</v>
      </c>
      <c r="B30">
        <v>9</v>
      </c>
      <c r="C30">
        <v>26</v>
      </c>
      <c r="D30" t="s">
        <v>42</v>
      </c>
      <c r="E30" t="s">
        <v>42</v>
      </c>
      <c r="F30" t="s">
        <v>42</v>
      </c>
      <c r="G30" t="s">
        <v>85</v>
      </c>
      <c r="H30" t="s">
        <v>42</v>
      </c>
      <c r="I30" t="s">
        <v>42</v>
      </c>
      <c r="J30" t="s">
        <v>42</v>
      </c>
      <c r="K30">
        <v>2</v>
      </c>
      <c r="L30">
        <f>SUM($K$5:K30)</f>
        <v>239</v>
      </c>
      <c r="M30" t="s">
        <v>42</v>
      </c>
      <c r="N30" t="s">
        <v>42</v>
      </c>
      <c r="O30" t="s">
        <v>42</v>
      </c>
      <c r="P30" t="s">
        <v>42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</row>
    <row r="31" spans="1:24" x14ac:dyDescent="0.25">
      <c r="A31" t="s">
        <v>231</v>
      </c>
      <c r="B31">
        <v>9</v>
      </c>
      <c r="C31">
        <v>27</v>
      </c>
      <c r="D31" t="s">
        <v>42</v>
      </c>
      <c r="E31" t="s">
        <v>232</v>
      </c>
      <c r="F31" t="s">
        <v>42</v>
      </c>
      <c r="G31" t="s">
        <v>85</v>
      </c>
      <c r="H31" t="s">
        <v>42</v>
      </c>
      <c r="I31" t="s">
        <v>42</v>
      </c>
      <c r="J31" t="s">
        <v>233</v>
      </c>
      <c r="K31">
        <v>1</v>
      </c>
      <c r="L31">
        <f>SUM($K$5:K31)</f>
        <v>240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s="3" customFormat="1" x14ac:dyDescent="0.25">
      <c r="K3" s="3" t="s">
        <v>5</v>
      </c>
      <c r="L3" s="3" t="s">
        <v>5</v>
      </c>
    </row>
    <row r="4" spans="1:24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26</v>
      </c>
      <c r="N4" s="2" t="s">
        <v>33</v>
      </c>
      <c r="O4" s="2" t="s">
        <v>32</v>
      </c>
      <c r="P4" s="2" t="s">
        <v>24</v>
      </c>
      <c r="Q4" s="2" t="s">
        <v>21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39</v>
      </c>
      <c r="X4" s="2" t="s">
        <v>40</v>
      </c>
    </row>
    <row r="5" spans="1:24" x14ac:dyDescent="0.25">
      <c r="A5" t="s">
        <v>41</v>
      </c>
      <c r="B5">
        <v>10</v>
      </c>
      <c r="C5">
        <v>1</v>
      </c>
      <c r="D5">
        <v>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235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236</v>
      </c>
    </row>
    <row r="6" spans="1:24" x14ac:dyDescent="0.25">
      <c r="A6" t="s">
        <v>48</v>
      </c>
      <c r="B6">
        <v>10</v>
      </c>
      <c r="C6">
        <v>2</v>
      </c>
      <c r="D6">
        <v>3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237</v>
      </c>
      <c r="K6">
        <v>1</v>
      </c>
      <c r="L6">
        <f>SUM($K$5:K6)</f>
        <v>2</v>
      </c>
      <c r="M6" t="s">
        <v>87</v>
      </c>
      <c r="N6" t="s">
        <v>238</v>
      </c>
      <c r="O6" t="s">
        <v>239</v>
      </c>
      <c r="P6" t="s">
        <v>46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240</v>
      </c>
    </row>
    <row r="7" spans="1:24" x14ac:dyDescent="0.25">
      <c r="A7" t="s">
        <v>52</v>
      </c>
      <c r="B7">
        <v>10</v>
      </c>
      <c r="C7">
        <v>3</v>
      </c>
      <c r="D7">
        <v>4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241</v>
      </c>
      <c r="K7">
        <v>1</v>
      </c>
      <c r="L7">
        <f>SUM($K$5:K7)</f>
        <v>3</v>
      </c>
      <c r="M7" t="s">
        <v>42</v>
      </c>
      <c r="N7" t="s">
        <v>42</v>
      </c>
      <c r="O7" t="s">
        <v>42</v>
      </c>
      <c r="P7" t="s">
        <v>42</v>
      </c>
      <c r="Q7" t="s">
        <v>87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242</v>
      </c>
    </row>
    <row r="8" spans="1:24" x14ac:dyDescent="0.25">
      <c r="A8" t="s">
        <v>56</v>
      </c>
      <c r="B8">
        <v>10</v>
      </c>
      <c r="C8">
        <v>4</v>
      </c>
      <c r="D8">
        <v>5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243</v>
      </c>
      <c r="K8">
        <v>1</v>
      </c>
      <c r="L8">
        <f>SUM($K$5:K8)</f>
        <v>4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244</v>
      </c>
    </row>
    <row r="9" spans="1:24" x14ac:dyDescent="0.25">
      <c r="A9" t="s">
        <v>60</v>
      </c>
      <c r="B9">
        <v>10</v>
      </c>
      <c r="C9">
        <v>5</v>
      </c>
      <c r="D9">
        <v>6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245</v>
      </c>
      <c r="K9">
        <v>1</v>
      </c>
      <c r="L9">
        <f>SUM($K$5:K9)</f>
        <v>5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246</v>
      </c>
    </row>
    <row r="10" spans="1:24" x14ac:dyDescent="0.25">
      <c r="A10" t="s">
        <v>64</v>
      </c>
      <c r="B10">
        <v>10</v>
      </c>
      <c r="C10">
        <v>6</v>
      </c>
      <c r="D10" t="s">
        <v>42</v>
      </c>
      <c r="E10" t="s">
        <v>247</v>
      </c>
      <c r="F10" t="s">
        <v>42</v>
      </c>
      <c r="G10" t="s">
        <v>44</v>
      </c>
      <c r="H10" t="s">
        <v>42</v>
      </c>
      <c r="I10" t="s">
        <v>42</v>
      </c>
      <c r="J10" t="s">
        <v>248</v>
      </c>
      <c r="K10">
        <v>1</v>
      </c>
      <c r="L10">
        <f>SUM($K$5:K10)</f>
        <v>6</v>
      </c>
      <c r="M10" t="s">
        <v>46</v>
      </c>
      <c r="N10" t="s">
        <v>249</v>
      </c>
      <c r="O10" t="s">
        <v>250</v>
      </c>
      <c r="P10" t="s">
        <v>42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251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11</v>
      </c>
      <c r="C5">
        <v>1</v>
      </c>
      <c r="D5" t="s">
        <v>42</v>
      </c>
      <c r="E5" t="s">
        <v>253</v>
      </c>
      <c r="F5" t="s">
        <v>42</v>
      </c>
      <c r="G5" t="s">
        <v>85</v>
      </c>
      <c r="H5" t="s">
        <v>42</v>
      </c>
      <c r="I5" t="s">
        <v>42</v>
      </c>
      <c r="J5" t="s">
        <v>254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255</v>
      </c>
    </row>
    <row r="6" spans="1:35" x14ac:dyDescent="0.25">
      <c r="A6" t="s">
        <v>48</v>
      </c>
      <c r="B6">
        <v>11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256</v>
      </c>
    </row>
    <row r="7" spans="1:35" x14ac:dyDescent="0.25">
      <c r="A7" t="s">
        <v>52</v>
      </c>
      <c r="B7">
        <v>11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141</v>
      </c>
      <c r="AD7" t="s">
        <v>89</v>
      </c>
      <c r="AE7" t="s">
        <v>90</v>
      </c>
      <c r="AF7" t="s">
        <v>42</v>
      </c>
      <c r="AG7">
        <v>1</v>
      </c>
      <c r="AH7" t="s">
        <v>142</v>
      </c>
      <c r="AI7" t="s">
        <v>42</v>
      </c>
    </row>
    <row r="8" spans="1:35" x14ac:dyDescent="0.25">
      <c r="A8" t="s">
        <v>56</v>
      </c>
      <c r="B8">
        <v>11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11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87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11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87</v>
      </c>
      <c r="Y10" t="s">
        <v>42</v>
      </c>
      <c r="Z10" t="s">
        <v>42</v>
      </c>
      <c r="AA10" t="s">
        <v>42</v>
      </c>
      <c r="AB10" t="s">
        <v>42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11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87</v>
      </c>
      <c r="AC11" t="s">
        <v>257</v>
      </c>
      <c r="AD11" t="s">
        <v>258</v>
      </c>
      <c r="AE11" t="s">
        <v>259</v>
      </c>
      <c r="AF11" t="s">
        <v>42</v>
      </c>
      <c r="AG11">
        <v>1</v>
      </c>
      <c r="AH11" t="s">
        <v>128</v>
      </c>
      <c r="AI11" t="s">
        <v>42</v>
      </c>
    </row>
    <row r="12" spans="1:35" x14ac:dyDescent="0.25">
      <c r="A12" t="s">
        <v>72</v>
      </c>
      <c r="B12">
        <v>11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87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11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46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11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46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11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46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11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46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11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46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11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11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147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87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11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87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11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87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150</v>
      </c>
      <c r="B22">
        <v>11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87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151</v>
      </c>
      <c r="B23">
        <v>11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46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152</v>
      </c>
      <c r="B24">
        <v>11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46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46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153</v>
      </c>
      <c r="B25">
        <v>11</v>
      </c>
      <c r="C25">
        <v>21</v>
      </c>
      <c r="D25" t="s">
        <v>42</v>
      </c>
      <c r="E25" t="s">
        <v>42</v>
      </c>
      <c r="F25" t="s">
        <v>42</v>
      </c>
      <c r="G25" t="s">
        <v>85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46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154</v>
      </c>
      <c r="B26">
        <v>11</v>
      </c>
      <c r="C26">
        <v>22</v>
      </c>
      <c r="D26">
        <v>23</v>
      </c>
      <c r="E26" t="s">
        <v>42</v>
      </c>
      <c r="F26" t="s">
        <v>42</v>
      </c>
      <c r="G26" t="s">
        <v>85</v>
      </c>
      <c r="H26" t="s">
        <v>42</v>
      </c>
      <c r="I26" t="s">
        <v>48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101</v>
      </c>
      <c r="AD26" t="s">
        <v>102</v>
      </c>
      <c r="AE26" t="s">
        <v>155</v>
      </c>
      <c r="AF26" t="s">
        <v>42</v>
      </c>
      <c r="AG26">
        <v>1</v>
      </c>
      <c r="AH26" t="s">
        <v>42</v>
      </c>
      <c r="AI26" t="s">
        <v>260</v>
      </c>
    </row>
    <row r="27" spans="1:35" x14ac:dyDescent="0.25">
      <c r="A27" t="s">
        <v>157</v>
      </c>
      <c r="B27">
        <v>11</v>
      </c>
      <c r="C27">
        <v>23</v>
      </c>
      <c r="D27" t="s">
        <v>158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158</v>
      </c>
      <c r="B28">
        <v>11</v>
      </c>
      <c r="C28">
        <v>24</v>
      </c>
      <c r="D28" t="s">
        <v>229</v>
      </c>
      <c r="E28" t="s">
        <v>261</v>
      </c>
      <c r="F28" t="s">
        <v>42</v>
      </c>
      <c r="G28" t="s">
        <v>85</v>
      </c>
      <c r="H28" t="s">
        <v>42</v>
      </c>
      <c r="I28" t="s">
        <v>42</v>
      </c>
      <c r="J28" t="s">
        <v>262</v>
      </c>
      <c r="K28">
        <v>1</v>
      </c>
      <c r="L28">
        <f>SUM($K$5:K28)</f>
        <v>46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  <row r="29" spans="1:35" x14ac:dyDescent="0.25">
      <c r="A29" t="s">
        <v>229</v>
      </c>
      <c r="B29">
        <v>11</v>
      </c>
      <c r="C29">
        <v>25</v>
      </c>
      <c r="D29" t="s">
        <v>230</v>
      </c>
      <c r="E29" t="s">
        <v>263</v>
      </c>
      <c r="F29" t="s">
        <v>42</v>
      </c>
      <c r="G29" t="s">
        <v>85</v>
      </c>
      <c r="H29" t="s">
        <v>42</v>
      </c>
      <c r="I29" t="s">
        <v>264</v>
      </c>
      <c r="J29" t="s">
        <v>265</v>
      </c>
      <c r="K29">
        <v>1</v>
      </c>
      <c r="L29">
        <f>SUM($K$5:K29)</f>
        <v>47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266</v>
      </c>
      <c r="AD29" t="s">
        <v>267</v>
      </c>
      <c r="AE29" t="s">
        <v>268</v>
      </c>
      <c r="AF29" t="s">
        <v>42</v>
      </c>
      <c r="AG29" t="s">
        <v>42</v>
      </c>
      <c r="AH29" t="s">
        <v>42</v>
      </c>
      <c r="AI29" t="s">
        <v>269</v>
      </c>
    </row>
    <row r="30" spans="1:35" x14ac:dyDescent="0.25">
      <c r="A30" t="s">
        <v>230</v>
      </c>
      <c r="B30">
        <v>11</v>
      </c>
      <c r="C30">
        <v>26</v>
      </c>
      <c r="D30" t="s">
        <v>231</v>
      </c>
      <c r="E30" t="s">
        <v>42</v>
      </c>
      <c r="F30" t="s">
        <v>42</v>
      </c>
      <c r="G30" t="s">
        <v>85</v>
      </c>
      <c r="H30" t="s">
        <v>42</v>
      </c>
      <c r="I30" t="s">
        <v>42</v>
      </c>
      <c r="J30" t="s">
        <v>270</v>
      </c>
      <c r="K30">
        <v>2</v>
      </c>
      <c r="L30">
        <f>SUM($K$5:K30)</f>
        <v>49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87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271</v>
      </c>
    </row>
    <row r="31" spans="1:35" x14ac:dyDescent="0.25">
      <c r="A31" t="s">
        <v>231</v>
      </c>
      <c r="B31">
        <v>11</v>
      </c>
      <c r="C31">
        <v>27</v>
      </c>
      <c r="D31" t="s">
        <v>272</v>
      </c>
      <c r="E31" t="s">
        <v>42</v>
      </c>
      <c r="F31" t="s">
        <v>42</v>
      </c>
      <c r="G31" t="s">
        <v>85</v>
      </c>
      <c r="H31" t="s">
        <v>42</v>
      </c>
      <c r="I31" t="s">
        <v>42</v>
      </c>
      <c r="J31" t="s">
        <v>273</v>
      </c>
      <c r="K31">
        <v>2</v>
      </c>
      <c r="L31">
        <f>SUM($K$5:K31)</f>
        <v>51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87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274</v>
      </c>
    </row>
    <row r="32" spans="1:35" x14ac:dyDescent="0.25">
      <c r="A32" t="s">
        <v>264</v>
      </c>
      <c r="B32">
        <v>11</v>
      </c>
      <c r="C32">
        <v>28</v>
      </c>
      <c r="D32" t="s">
        <v>272</v>
      </c>
      <c r="E32" t="s">
        <v>42</v>
      </c>
      <c r="F32" t="s">
        <v>42</v>
      </c>
      <c r="G32" t="s">
        <v>85</v>
      </c>
      <c r="H32" t="s">
        <v>42</v>
      </c>
      <c r="I32" t="s">
        <v>42</v>
      </c>
      <c r="J32" t="s">
        <v>275</v>
      </c>
      <c r="K32">
        <v>2</v>
      </c>
      <c r="L32">
        <f>SUM($K$5:K32)</f>
        <v>53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87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 t="s">
        <v>276</v>
      </c>
    </row>
    <row r="33" spans="1:35" x14ac:dyDescent="0.25">
      <c r="A33" t="s">
        <v>272</v>
      </c>
      <c r="B33">
        <v>11</v>
      </c>
      <c r="C33">
        <v>29</v>
      </c>
      <c r="D33" t="s">
        <v>277</v>
      </c>
      <c r="E33" t="s">
        <v>278</v>
      </c>
      <c r="F33" t="s">
        <v>42</v>
      </c>
      <c r="G33" t="s">
        <v>85</v>
      </c>
      <c r="H33" t="s">
        <v>42</v>
      </c>
      <c r="I33" t="s">
        <v>42</v>
      </c>
      <c r="J33" t="s">
        <v>279</v>
      </c>
      <c r="K33">
        <v>60</v>
      </c>
      <c r="L33">
        <f>SUM($K$5:K33)</f>
        <v>113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123</v>
      </c>
      <c r="AD33" t="s">
        <v>89</v>
      </c>
      <c r="AE33" t="s">
        <v>90</v>
      </c>
      <c r="AF33" t="s">
        <v>42</v>
      </c>
      <c r="AG33">
        <v>1</v>
      </c>
      <c r="AH33" t="s">
        <v>280</v>
      </c>
      <c r="AI33" t="s">
        <v>281</v>
      </c>
    </row>
    <row r="34" spans="1:35" x14ac:dyDescent="0.25">
      <c r="A34" t="s">
        <v>277</v>
      </c>
      <c r="B34">
        <v>11</v>
      </c>
      <c r="C34">
        <v>30</v>
      </c>
      <c r="D34" t="s">
        <v>282</v>
      </c>
      <c r="E34" t="s">
        <v>42</v>
      </c>
      <c r="F34" t="s">
        <v>42</v>
      </c>
      <c r="G34" t="s">
        <v>85</v>
      </c>
      <c r="H34" t="s">
        <v>42</v>
      </c>
      <c r="I34">
        <v>30</v>
      </c>
      <c r="J34" t="s">
        <v>42</v>
      </c>
      <c r="K34">
        <v>1</v>
      </c>
      <c r="L34">
        <f>SUM($K$5:K34)</f>
        <v>114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101</v>
      </c>
      <c r="AD34" t="s">
        <v>102</v>
      </c>
      <c r="AE34" t="s">
        <v>283</v>
      </c>
      <c r="AF34" t="s">
        <v>42</v>
      </c>
      <c r="AG34">
        <v>1</v>
      </c>
      <c r="AH34" t="s">
        <v>42</v>
      </c>
      <c r="AI34" t="s">
        <v>284</v>
      </c>
    </row>
    <row r="35" spans="1:35" x14ac:dyDescent="0.25">
      <c r="A35" t="s">
        <v>282</v>
      </c>
      <c r="B35">
        <v>11</v>
      </c>
      <c r="C35">
        <v>31</v>
      </c>
      <c r="D35" t="s">
        <v>285</v>
      </c>
      <c r="E35" t="s">
        <v>42</v>
      </c>
      <c r="F35" t="s">
        <v>42</v>
      </c>
      <c r="G35" t="s">
        <v>85</v>
      </c>
      <c r="H35" t="s">
        <v>42</v>
      </c>
      <c r="I35" t="s">
        <v>42</v>
      </c>
      <c r="J35" t="s">
        <v>286</v>
      </c>
      <c r="K35">
        <v>2</v>
      </c>
      <c r="L35">
        <f>SUM($K$5:K35)</f>
        <v>116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87</v>
      </c>
      <c r="AB35" t="s">
        <v>42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 t="s">
        <v>42</v>
      </c>
    </row>
    <row r="36" spans="1:35" x14ac:dyDescent="0.25">
      <c r="A36" t="s">
        <v>285</v>
      </c>
      <c r="B36">
        <v>11</v>
      </c>
      <c r="C36">
        <v>32</v>
      </c>
      <c r="D36" t="s">
        <v>287</v>
      </c>
      <c r="E36" t="s">
        <v>288</v>
      </c>
      <c r="F36" t="s">
        <v>42</v>
      </c>
      <c r="G36" t="s">
        <v>85</v>
      </c>
      <c r="H36" t="s">
        <v>42</v>
      </c>
      <c r="I36" t="s">
        <v>42</v>
      </c>
      <c r="J36" t="s">
        <v>289</v>
      </c>
      <c r="K36">
        <v>60</v>
      </c>
      <c r="L36">
        <f>SUM($K$5:K36)</f>
        <v>176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96</v>
      </c>
      <c r="AD36" t="s">
        <v>89</v>
      </c>
      <c r="AE36" t="s">
        <v>90</v>
      </c>
      <c r="AF36" t="s">
        <v>42</v>
      </c>
      <c r="AG36">
        <v>1</v>
      </c>
      <c r="AH36" t="s">
        <v>290</v>
      </c>
      <c r="AI36" t="s">
        <v>291</v>
      </c>
    </row>
    <row r="37" spans="1:35" x14ac:dyDescent="0.25">
      <c r="A37" t="s">
        <v>287</v>
      </c>
      <c r="B37">
        <v>11</v>
      </c>
      <c r="C37">
        <v>33</v>
      </c>
      <c r="D37" t="s">
        <v>292</v>
      </c>
      <c r="E37" t="s">
        <v>42</v>
      </c>
      <c r="F37" t="s">
        <v>42</v>
      </c>
      <c r="G37" t="s">
        <v>85</v>
      </c>
      <c r="H37" t="s">
        <v>42</v>
      </c>
      <c r="I37">
        <v>32</v>
      </c>
      <c r="J37" t="s">
        <v>42</v>
      </c>
      <c r="K37">
        <v>1</v>
      </c>
      <c r="L37">
        <f>SUM($K$5:K37)</f>
        <v>177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101</v>
      </c>
      <c r="AD37" t="s">
        <v>102</v>
      </c>
      <c r="AE37" t="s">
        <v>283</v>
      </c>
      <c r="AF37" t="s">
        <v>42</v>
      </c>
      <c r="AG37">
        <v>1</v>
      </c>
      <c r="AH37" t="s">
        <v>42</v>
      </c>
      <c r="AI37" t="s">
        <v>293</v>
      </c>
    </row>
    <row r="38" spans="1:35" x14ac:dyDescent="0.25">
      <c r="A38" t="s">
        <v>292</v>
      </c>
      <c r="B38">
        <v>11</v>
      </c>
      <c r="C38">
        <v>34</v>
      </c>
      <c r="D38" t="s">
        <v>42</v>
      </c>
      <c r="E38" t="s">
        <v>294</v>
      </c>
      <c r="F38" t="s">
        <v>42</v>
      </c>
      <c r="G38" t="s">
        <v>85</v>
      </c>
      <c r="H38" t="s">
        <v>42</v>
      </c>
      <c r="I38" t="s">
        <v>42</v>
      </c>
      <c r="J38" t="s">
        <v>295</v>
      </c>
      <c r="K38">
        <v>1</v>
      </c>
      <c r="L38">
        <f>SUM($K$5:K38)</f>
        <v>178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296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12</v>
      </c>
      <c r="C5">
        <v>1</v>
      </c>
      <c r="D5" t="s">
        <v>42</v>
      </c>
      <c r="E5" t="s">
        <v>298</v>
      </c>
      <c r="F5" t="s">
        <v>42</v>
      </c>
      <c r="G5" t="s">
        <v>85</v>
      </c>
      <c r="H5" t="s">
        <v>42</v>
      </c>
      <c r="I5" t="s">
        <v>42</v>
      </c>
      <c r="J5" t="s">
        <v>299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300</v>
      </c>
    </row>
    <row r="6" spans="1:35" x14ac:dyDescent="0.25">
      <c r="A6" t="s">
        <v>48</v>
      </c>
      <c r="B6">
        <v>12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201</v>
      </c>
    </row>
    <row r="7" spans="1:35" x14ac:dyDescent="0.25">
      <c r="A7" t="s">
        <v>52</v>
      </c>
      <c r="B7">
        <v>12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12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42</v>
      </c>
    </row>
    <row r="9" spans="1:35" x14ac:dyDescent="0.25">
      <c r="A9" t="s">
        <v>60</v>
      </c>
      <c r="B9">
        <v>12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12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12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12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12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12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12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12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12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12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12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12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12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301</v>
      </c>
      <c r="AF21" t="s">
        <v>42</v>
      </c>
      <c r="AG21">
        <v>1</v>
      </c>
      <c r="AH21" t="s">
        <v>42</v>
      </c>
      <c r="AI21" t="s">
        <v>302</v>
      </c>
    </row>
    <row r="22" spans="1:35" x14ac:dyDescent="0.25">
      <c r="A22" t="s">
        <v>152</v>
      </c>
      <c r="B22">
        <v>12</v>
      </c>
      <c r="C22">
        <v>18</v>
      </c>
      <c r="D22" t="s">
        <v>42</v>
      </c>
      <c r="E22" t="s">
        <v>303</v>
      </c>
      <c r="F22" t="s">
        <v>42</v>
      </c>
      <c r="G22" t="s">
        <v>85</v>
      </c>
      <c r="H22" t="s">
        <v>42</v>
      </c>
      <c r="I22" t="s">
        <v>42</v>
      </c>
      <c r="J22" t="s">
        <v>304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13</v>
      </c>
      <c r="C5">
        <v>1</v>
      </c>
      <c r="D5" t="s">
        <v>48</v>
      </c>
      <c r="E5" t="s">
        <v>306</v>
      </c>
      <c r="F5" t="s">
        <v>42</v>
      </c>
      <c r="G5" t="s">
        <v>85</v>
      </c>
      <c r="H5" t="s">
        <v>42</v>
      </c>
      <c r="I5" t="s">
        <v>42</v>
      </c>
      <c r="J5" t="s">
        <v>307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308</v>
      </c>
    </row>
    <row r="6" spans="1:35" x14ac:dyDescent="0.25">
      <c r="A6" t="s">
        <v>48</v>
      </c>
      <c r="B6">
        <v>13</v>
      </c>
      <c r="C6">
        <v>2</v>
      </c>
      <c r="D6" t="s">
        <v>52</v>
      </c>
      <c r="E6" t="s">
        <v>309</v>
      </c>
      <c r="F6" t="s">
        <v>42</v>
      </c>
      <c r="G6" t="s">
        <v>85</v>
      </c>
      <c r="H6" t="s">
        <v>42</v>
      </c>
      <c r="I6" t="s">
        <v>310</v>
      </c>
      <c r="J6" t="s">
        <v>311</v>
      </c>
      <c r="K6">
        <v>1</v>
      </c>
      <c r="L6">
        <f>SUM($K$5:K6)</f>
        <v>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312</v>
      </c>
      <c r="AD6" t="s">
        <v>267</v>
      </c>
      <c r="AE6" t="s">
        <v>268</v>
      </c>
      <c r="AF6" t="s">
        <v>42</v>
      </c>
      <c r="AG6" t="s">
        <v>42</v>
      </c>
      <c r="AH6" t="s">
        <v>42</v>
      </c>
      <c r="AI6" t="s">
        <v>313</v>
      </c>
    </row>
    <row r="7" spans="1:35" x14ac:dyDescent="0.25">
      <c r="A7" t="s">
        <v>52</v>
      </c>
      <c r="B7">
        <v>13</v>
      </c>
      <c r="C7">
        <v>3</v>
      </c>
      <c r="D7" t="s">
        <v>56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275</v>
      </c>
      <c r="K7">
        <v>2</v>
      </c>
      <c r="L7">
        <f>SUM($K$5:K7)</f>
        <v>4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87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314</v>
      </c>
    </row>
    <row r="8" spans="1:35" x14ac:dyDescent="0.25">
      <c r="A8" t="s">
        <v>56</v>
      </c>
      <c r="B8">
        <v>13</v>
      </c>
      <c r="C8">
        <v>4</v>
      </c>
      <c r="D8" t="s">
        <v>60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286</v>
      </c>
      <c r="K8">
        <v>2</v>
      </c>
      <c r="L8">
        <f>SUM($K$5:K8)</f>
        <v>6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87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315</v>
      </c>
    </row>
    <row r="9" spans="1:35" x14ac:dyDescent="0.25">
      <c r="A9" t="s">
        <v>60</v>
      </c>
      <c r="B9">
        <v>13</v>
      </c>
      <c r="C9">
        <v>5</v>
      </c>
      <c r="D9" t="s">
        <v>64</v>
      </c>
      <c r="E9" t="s">
        <v>316</v>
      </c>
      <c r="F9" t="s">
        <v>42</v>
      </c>
      <c r="G9" t="s">
        <v>85</v>
      </c>
      <c r="H9" t="s">
        <v>42</v>
      </c>
      <c r="I9" t="s">
        <v>42</v>
      </c>
      <c r="J9" t="s">
        <v>317</v>
      </c>
      <c r="K9">
        <v>2</v>
      </c>
      <c r="L9">
        <f>SUM($K$5:K9)</f>
        <v>8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318</v>
      </c>
      <c r="AD9" t="s">
        <v>319</v>
      </c>
      <c r="AE9" t="s">
        <v>320</v>
      </c>
      <c r="AF9" t="s">
        <v>42</v>
      </c>
      <c r="AG9">
        <v>1</v>
      </c>
      <c r="AH9" t="s">
        <v>321</v>
      </c>
      <c r="AI9" t="s">
        <v>322</v>
      </c>
    </row>
    <row r="10" spans="1:35" x14ac:dyDescent="0.25">
      <c r="A10" t="s">
        <v>64</v>
      </c>
      <c r="B10">
        <v>13</v>
      </c>
      <c r="C10">
        <v>6</v>
      </c>
      <c r="D10" t="s">
        <v>68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323</v>
      </c>
      <c r="K10">
        <v>2</v>
      </c>
      <c r="L10">
        <f>SUM($K$5:K10)</f>
        <v>10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87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324</v>
      </c>
    </row>
    <row r="11" spans="1:35" x14ac:dyDescent="0.25">
      <c r="A11" t="s">
        <v>310</v>
      </c>
      <c r="B11">
        <v>13</v>
      </c>
      <c r="C11">
        <v>7</v>
      </c>
      <c r="D11" t="s">
        <v>68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325</v>
      </c>
      <c r="K11">
        <v>2</v>
      </c>
      <c r="L11">
        <f>SUM($K$5:K11)</f>
        <v>12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87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326</v>
      </c>
    </row>
    <row r="12" spans="1:35" x14ac:dyDescent="0.25">
      <c r="A12" t="s">
        <v>68</v>
      </c>
      <c r="B12">
        <v>13</v>
      </c>
      <c r="C12">
        <v>8</v>
      </c>
      <c r="D12" t="s">
        <v>72</v>
      </c>
      <c r="E12" t="s">
        <v>327</v>
      </c>
      <c r="F12" t="s">
        <v>42</v>
      </c>
      <c r="G12" t="s">
        <v>85</v>
      </c>
      <c r="H12" t="s">
        <v>42</v>
      </c>
      <c r="I12" t="s">
        <v>42</v>
      </c>
      <c r="J12" t="s">
        <v>328</v>
      </c>
      <c r="K12">
        <v>2</v>
      </c>
      <c r="L12">
        <f>SUM($K$5:K12)</f>
        <v>14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329</v>
      </c>
      <c r="AD12" t="s">
        <v>319</v>
      </c>
      <c r="AE12" t="s">
        <v>320</v>
      </c>
      <c r="AF12" t="s">
        <v>42</v>
      </c>
      <c r="AG12">
        <v>1</v>
      </c>
      <c r="AH12" t="s">
        <v>330</v>
      </c>
      <c r="AI12" t="s">
        <v>331</v>
      </c>
    </row>
    <row r="13" spans="1:35" x14ac:dyDescent="0.25">
      <c r="A13" t="s">
        <v>72</v>
      </c>
      <c r="B13">
        <v>13</v>
      </c>
      <c r="C13">
        <v>9</v>
      </c>
      <c r="D13" t="s">
        <v>332</v>
      </c>
      <c r="E13" t="s">
        <v>42</v>
      </c>
      <c r="F13" t="s">
        <v>164</v>
      </c>
      <c r="G13" t="s">
        <v>85</v>
      </c>
      <c r="H13" t="s">
        <v>42</v>
      </c>
      <c r="I13" t="s">
        <v>42</v>
      </c>
      <c r="J13" t="s">
        <v>333</v>
      </c>
      <c r="K13">
        <v>60</v>
      </c>
      <c r="L13">
        <f>SUM($K$5:K13)</f>
        <v>74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96</v>
      </c>
      <c r="AD13" t="s">
        <v>102</v>
      </c>
      <c r="AE13" t="s">
        <v>334</v>
      </c>
      <c r="AF13" t="s">
        <v>42</v>
      </c>
      <c r="AG13">
        <v>1</v>
      </c>
      <c r="AH13" t="s">
        <v>335</v>
      </c>
      <c r="AI13" t="s">
        <v>336</v>
      </c>
    </row>
    <row r="14" spans="1:35" x14ac:dyDescent="0.25">
      <c r="A14" t="s">
        <v>332</v>
      </c>
      <c r="B14">
        <v>13</v>
      </c>
      <c r="C14">
        <v>10</v>
      </c>
      <c r="D14" t="s">
        <v>76</v>
      </c>
      <c r="E14" t="s">
        <v>42</v>
      </c>
      <c r="F14" t="s">
        <v>42</v>
      </c>
      <c r="G14" t="s">
        <v>85</v>
      </c>
      <c r="H14" t="s">
        <v>42</v>
      </c>
      <c r="I14">
        <v>8</v>
      </c>
      <c r="J14" t="s">
        <v>42</v>
      </c>
      <c r="K14">
        <v>1</v>
      </c>
      <c r="L14">
        <f>SUM($K$5:K14)</f>
        <v>75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101</v>
      </c>
      <c r="AD14" t="s">
        <v>102</v>
      </c>
      <c r="AE14" t="s">
        <v>337</v>
      </c>
      <c r="AF14" t="s">
        <v>42</v>
      </c>
      <c r="AG14">
        <v>1</v>
      </c>
      <c r="AH14" t="s">
        <v>42</v>
      </c>
      <c r="AI14" t="s">
        <v>338</v>
      </c>
    </row>
    <row r="15" spans="1:35" x14ac:dyDescent="0.25">
      <c r="A15" t="s">
        <v>76</v>
      </c>
      <c r="B15">
        <v>13</v>
      </c>
      <c r="C15">
        <v>11</v>
      </c>
      <c r="D15" t="s">
        <v>339</v>
      </c>
      <c r="E15" t="s">
        <v>42</v>
      </c>
      <c r="F15" t="s">
        <v>164</v>
      </c>
      <c r="G15" t="s">
        <v>85</v>
      </c>
      <c r="H15" t="s">
        <v>42</v>
      </c>
      <c r="I15" t="s">
        <v>42</v>
      </c>
      <c r="J15" t="s">
        <v>340</v>
      </c>
      <c r="K15">
        <v>60</v>
      </c>
      <c r="L15">
        <f>SUM($K$5:K15)</f>
        <v>135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341</v>
      </c>
      <c r="AD15" t="s">
        <v>102</v>
      </c>
      <c r="AE15" t="s">
        <v>342</v>
      </c>
      <c r="AF15" t="s">
        <v>42</v>
      </c>
      <c r="AG15">
        <v>1</v>
      </c>
      <c r="AH15" t="s">
        <v>343</v>
      </c>
      <c r="AI15" t="s">
        <v>344</v>
      </c>
    </row>
    <row r="16" spans="1:35" x14ac:dyDescent="0.25">
      <c r="A16" t="s">
        <v>339</v>
      </c>
      <c r="B16">
        <v>13</v>
      </c>
      <c r="C16">
        <v>12</v>
      </c>
      <c r="D16" t="s">
        <v>146</v>
      </c>
      <c r="E16" t="s">
        <v>42</v>
      </c>
      <c r="F16" t="s">
        <v>42</v>
      </c>
      <c r="G16" t="s">
        <v>85</v>
      </c>
      <c r="H16" t="s">
        <v>42</v>
      </c>
      <c r="I16">
        <v>9</v>
      </c>
      <c r="J16" t="s">
        <v>42</v>
      </c>
      <c r="K16">
        <v>1</v>
      </c>
      <c r="L16">
        <f>SUM($K$5:K16)</f>
        <v>136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101</v>
      </c>
      <c r="AD16" t="s">
        <v>102</v>
      </c>
      <c r="AE16" t="s">
        <v>345</v>
      </c>
      <c r="AF16" t="s">
        <v>42</v>
      </c>
      <c r="AG16">
        <v>1</v>
      </c>
      <c r="AH16" t="s">
        <v>42</v>
      </c>
      <c r="AI16" t="s">
        <v>346</v>
      </c>
    </row>
    <row r="17" spans="1:35" x14ac:dyDescent="0.25">
      <c r="A17" t="s">
        <v>146</v>
      </c>
      <c r="B17">
        <v>13</v>
      </c>
      <c r="C17">
        <v>13</v>
      </c>
      <c r="D17" t="s">
        <v>272</v>
      </c>
      <c r="E17" t="s">
        <v>347</v>
      </c>
      <c r="F17" t="s">
        <v>42</v>
      </c>
      <c r="G17" t="s">
        <v>85</v>
      </c>
      <c r="H17" t="s">
        <v>42</v>
      </c>
      <c r="I17" t="s">
        <v>149</v>
      </c>
      <c r="J17" t="s">
        <v>348</v>
      </c>
      <c r="K17">
        <v>1</v>
      </c>
      <c r="L17">
        <f>SUM($K$5:K17)</f>
        <v>137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349</v>
      </c>
      <c r="AD17" t="s">
        <v>267</v>
      </c>
      <c r="AE17" t="s">
        <v>268</v>
      </c>
      <c r="AF17" t="s">
        <v>42</v>
      </c>
      <c r="AG17" t="s">
        <v>42</v>
      </c>
      <c r="AH17" t="s">
        <v>42</v>
      </c>
      <c r="AI17" t="s">
        <v>350</v>
      </c>
    </row>
    <row r="18" spans="1:35" x14ac:dyDescent="0.25">
      <c r="A18" t="s">
        <v>149</v>
      </c>
      <c r="B18">
        <v>13</v>
      </c>
      <c r="C18">
        <v>14</v>
      </c>
      <c r="D18" t="s">
        <v>150</v>
      </c>
      <c r="E18" t="s">
        <v>84</v>
      </c>
      <c r="F18" t="s">
        <v>42</v>
      </c>
      <c r="G18" t="s">
        <v>85</v>
      </c>
      <c r="H18" t="s">
        <v>42</v>
      </c>
      <c r="I18" t="s">
        <v>42</v>
      </c>
      <c r="J18" t="s">
        <v>86</v>
      </c>
      <c r="K18">
        <v>2</v>
      </c>
      <c r="L18">
        <f>SUM($K$5:K18)</f>
        <v>139</v>
      </c>
      <c r="M18" t="s">
        <v>42</v>
      </c>
      <c r="N18" t="s">
        <v>42</v>
      </c>
      <c r="O18" t="s">
        <v>42</v>
      </c>
      <c r="P18" t="s">
        <v>42</v>
      </c>
      <c r="Q18" t="s">
        <v>87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88</v>
      </c>
      <c r="AD18" t="s">
        <v>89</v>
      </c>
      <c r="AE18" t="s">
        <v>90</v>
      </c>
      <c r="AF18" t="s">
        <v>42</v>
      </c>
      <c r="AG18">
        <v>1</v>
      </c>
      <c r="AH18" t="s">
        <v>91</v>
      </c>
      <c r="AI18" t="s">
        <v>351</v>
      </c>
    </row>
    <row r="19" spans="1:35" x14ac:dyDescent="0.25">
      <c r="A19" t="s">
        <v>150</v>
      </c>
      <c r="B19">
        <v>13</v>
      </c>
      <c r="C19">
        <v>15</v>
      </c>
      <c r="D19" t="s">
        <v>151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93</v>
      </c>
      <c r="K19">
        <v>2</v>
      </c>
      <c r="L19">
        <f>SUM($K$5:K19)</f>
        <v>141</v>
      </c>
      <c r="M19" t="s">
        <v>42</v>
      </c>
      <c r="N19" t="s">
        <v>42</v>
      </c>
      <c r="O19" t="s">
        <v>42</v>
      </c>
      <c r="P19" t="s">
        <v>42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151</v>
      </c>
      <c r="B20">
        <v>13</v>
      </c>
      <c r="C20">
        <v>16</v>
      </c>
      <c r="D20" t="s">
        <v>152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143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87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152</v>
      </c>
      <c r="B21">
        <v>13</v>
      </c>
      <c r="C21">
        <v>17</v>
      </c>
      <c r="D21" t="s">
        <v>153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2</v>
      </c>
      <c r="L21">
        <f>SUM($K$5:K21)</f>
        <v>145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46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153</v>
      </c>
      <c r="B22">
        <v>13</v>
      </c>
      <c r="C22">
        <v>18</v>
      </c>
      <c r="D22" t="s">
        <v>154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42</v>
      </c>
      <c r="K22">
        <v>2</v>
      </c>
      <c r="L22">
        <f>SUM($K$5:K22)</f>
        <v>147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87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154</v>
      </c>
      <c r="B23">
        <v>13</v>
      </c>
      <c r="C23">
        <v>19</v>
      </c>
      <c r="D23" t="s">
        <v>157</v>
      </c>
      <c r="E23" t="s">
        <v>94</v>
      </c>
      <c r="F23" t="s">
        <v>42</v>
      </c>
      <c r="G23" t="s">
        <v>85</v>
      </c>
      <c r="H23" t="s">
        <v>42</v>
      </c>
      <c r="I23" t="s">
        <v>352</v>
      </c>
      <c r="J23" t="s">
        <v>42</v>
      </c>
      <c r="K23">
        <v>2</v>
      </c>
      <c r="L23">
        <f>SUM($K$5:K23)</f>
        <v>149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46</v>
      </c>
      <c r="Z23" t="s">
        <v>42</v>
      </c>
      <c r="AA23" t="s">
        <v>42</v>
      </c>
      <c r="AB23" t="s">
        <v>42</v>
      </c>
      <c r="AC23" t="s">
        <v>96</v>
      </c>
      <c r="AD23" t="s">
        <v>89</v>
      </c>
      <c r="AE23" t="s">
        <v>97</v>
      </c>
      <c r="AF23" t="s">
        <v>42</v>
      </c>
      <c r="AG23" t="s">
        <v>42</v>
      </c>
      <c r="AH23" t="s">
        <v>42</v>
      </c>
      <c r="AI23" t="s">
        <v>353</v>
      </c>
    </row>
    <row r="24" spans="1:35" x14ac:dyDescent="0.25">
      <c r="A24" t="s">
        <v>352</v>
      </c>
      <c r="B24">
        <v>13</v>
      </c>
      <c r="C24">
        <v>20</v>
      </c>
      <c r="D24" t="s">
        <v>354</v>
      </c>
      <c r="E24" t="s">
        <v>100</v>
      </c>
      <c r="F24" t="s">
        <v>42</v>
      </c>
      <c r="G24" t="s">
        <v>85</v>
      </c>
      <c r="H24" t="s">
        <v>42</v>
      </c>
      <c r="I24">
        <v>17</v>
      </c>
      <c r="J24" t="s">
        <v>42</v>
      </c>
      <c r="K24">
        <v>2</v>
      </c>
      <c r="L24">
        <f>SUM($K$5:K24)</f>
        <v>151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101</v>
      </c>
      <c r="AD24" t="s">
        <v>102</v>
      </c>
      <c r="AE24" t="s">
        <v>103</v>
      </c>
      <c r="AF24" t="s">
        <v>42</v>
      </c>
      <c r="AG24" t="s">
        <v>42</v>
      </c>
      <c r="AH24" t="s">
        <v>42</v>
      </c>
      <c r="AI24" t="s">
        <v>355</v>
      </c>
    </row>
    <row r="25" spans="1:35" x14ac:dyDescent="0.25">
      <c r="A25" t="s">
        <v>354</v>
      </c>
      <c r="B25">
        <v>13</v>
      </c>
      <c r="C25">
        <v>21</v>
      </c>
      <c r="D25" t="s">
        <v>42</v>
      </c>
      <c r="E25" t="s">
        <v>105</v>
      </c>
      <c r="F25" t="s">
        <v>42</v>
      </c>
      <c r="G25" t="s">
        <v>85</v>
      </c>
      <c r="H25" t="s">
        <v>42</v>
      </c>
      <c r="I25" t="s">
        <v>42</v>
      </c>
      <c r="J25" t="s">
        <v>106</v>
      </c>
      <c r="K25">
        <v>1</v>
      </c>
      <c r="L25">
        <f>SUM($K$5:K25)</f>
        <v>152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101</v>
      </c>
      <c r="AD25" t="s">
        <v>107</v>
      </c>
      <c r="AE25" t="s">
        <v>103</v>
      </c>
      <c r="AF25" t="s">
        <v>42</v>
      </c>
      <c r="AG25">
        <v>1</v>
      </c>
      <c r="AH25" t="s">
        <v>108</v>
      </c>
      <c r="AI25" t="s">
        <v>356</v>
      </c>
    </row>
    <row r="26" spans="1:35" x14ac:dyDescent="0.25">
      <c r="A26" t="s">
        <v>157</v>
      </c>
      <c r="B26">
        <v>13</v>
      </c>
      <c r="C26">
        <v>22</v>
      </c>
      <c r="D26" t="s">
        <v>272</v>
      </c>
      <c r="E26" t="s">
        <v>357</v>
      </c>
      <c r="F26" t="s">
        <v>42</v>
      </c>
      <c r="G26" t="s">
        <v>85</v>
      </c>
      <c r="H26" t="s">
        <v>42</v>
      </c>
      <c r="I26" t="s">
        <v>42</v>
      </c>
      <c r="J26" t="s">
        <v>42</v>
      </c>
      <c r="K26">
        <v>1</v>
      </c>
      <c r="L26">
        <f>SUM($K$5:K26)</f>
        <v>153</v>
      </c>
      <c r="M26" t="s">
        <v>42</v>
      </c>
      <c r="N26" t="s">
        <v>42</v>
      </c>
      <c r="O26" t="s">
        <v>42</v>
      </c>
      <c r="P26" t="s">
        <v>42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46</v>
      </c>
      <c r="Z26" t="s">
        <v>46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358</v>
      </c>
    </row>
    <row r="27" spans="1:35" x14ac:dyDescent="0.25">
      <c r="A27" t="s">
        <v>272</v>
      </c>
      <c r="B27">
        <v>13</v>
      </c>
      <c r="C27">
        <v>23</v>
      </c>
      <c r="D27" t="s">
        <v>42</v>
      </c>
      <c r="E27" t="s">
        <v>359</v>
      </c>
      <c r="F27" t="s">
        <v>42</v>
      </c>
      <c r="G27" t="s">
        <v>85</v>
      </c>
      <c r="H27" t="s">
        <v>42</v>
      </c>
      <c r="I27" t="s">
        <v>42</v>
      </c>
      <c r="J27" t="s">
        <v>360</v>
      </c>
      <c r="K27">
        <v>1</v>
      </c>
      <c r="L27">
        <f>SUM($K$5:K27)</f>
        <v>154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361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s="3" customFormat="1" x14ac:dyDescent="0.25">
      <c r="K3" s="3" t="s">
        <v>5</v>
      </c>
      <c r="L3" s="3" t="s">
        <v>5</v>
      </c>
    </row>
    <row r="4" spans="1:24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22</v>
      </c>
      <c r="N4" s="2" t="s">
        <v>31</v>
      </c>
      <c r="O4" s="2" t="s">
        <v>29</v>
      </c>
      <c r="P4" s="2" t="s">
        <v>363</v>
      </c>
      <c r="Q4" s="2" t="s">
        <v>364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38</v>
      </c>
      <c r="W4" s="2" t="s">
        <v>39</v>
      </c>
      <c r="X4" s="2" t="s">
        <v>40</v>
      </c>
    </row>
    <row r="5" spans="1:24" x14ac:dyDescent="0.25">
      <c r="A5" t="s">
        <v>41</v>
      </c>
      <c r="B5">
        <v>14</v>
      </c>
      <c r="C5">
        <v>1</v>
      </c>
      <c r="D5" t="s">
        <v>42</v>
      </c>
      <c r="E5" t="s">
        <v>207</v>
      </c>
      <c r="F5" t="s">
        <v>42</v>
      </c>
      <c r="G5" t="s">
        <v>85</v>
      </c>
      <c r="H5" t="s">
        <v>42</v>
      </c>
      <c r="I5" t="s">
        <v>42</v>
      </c>
      <c r="J5" t="s">
        <v>208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209</v>
      </c>
    </row>
    <row r="6" spans="1:24" x14ac:dyDescent="0.25">
      <c r="A6" t="s">
        <v>48</v>
      </c>
      <c r="B6">
        <v>14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42</v>
      </c>
      <c r="K6">
        <v>4</v>
      </c>
      <c r="L6">
        <f>SUM($K$5:K6)</f>
        <v>5</v>
      </c>
      <c r="M6" t="s">
        <v>87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</row>
    <row r="7" spans="1:24" x14ac:dyDescent="0.25">
      <c r="A7" t="s">
        <v>52</v>
      </c>
      <c r="B7">
        <v>14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7</v>
      </c>
      <c r="M7" t="s">
        <v>42</v>
      </c>
      <c r="N7" t="s">
        <v>87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</row>
    <row r="8" spans="1:24" x14ac:dyDescent="0.25">
      <c r="A8" t="s">
        <v>56</v>
      </c>
      <c r="B8">
        <v>14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210</v>
      </c>
      <c r="K8">
        <v>6</v>
      </c>
      <c r="L8">
        <f>SUM($K$5:K8)</f>
        <v>13</v>
      </c>
      <c r="M8" t="s">
        <v>42</v>
      </c>
      <c r="N8" t="s">
        <v>42</v>
      </c>
      <c r="O8" t="s">
        <v>87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</row>
    <row r="9" spans="1:24" x14ac:dyDescent="0.25">
      <c r="A9" t="s">
        <v>60</v>
      </c>
      <c r="B9">
        <v>14</v>
      </c>
      <c r="C9">
        <v>5</v>
      </c>
      <c r="D9">
        <v>6</v>
      </c>
      <c r="E9" t="s">
        <v>42</v>
      </c>
      <c r="F9" t="s">
        <v>42</v>
      </c>
      <c r="G9" t="s">
        <v>85</v>
      </c>
      <c r="H9" t="s">
        <v>42</v>
      </c>
      <c r="I9">
        <v>5</v>
      </c>
      <c r="J9" t="s">
        <v>42</v>
      </c>
      <c r="K9">
        <v>60</v>
      </c>
      <c r="L9">
        <f>SUM($K$5:K9)</f>
        <v>73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101</v>
      </c>
      <c r="S9" t="s">
        <v>102</v>
      </c>
      <c r="T9" t="s">
        <v>211</v>
      </c>
      <c r="U9" t="s">
        <v>42</v>
      </c>
      <c r="V9">
        <v>1</v>
      </c>
      <c r="W9" t="s">
        <v>42</v>
      </c>
      <c r="X9" t="s">
        <v>212</v>
      </c>
    </row>
    <row r="10" spans="1:24" x14ac:dyDescent="0.25">
      <c r="A10" t="s">
        <v>64</v>
      </c>
      <c r="B10">
        <v>14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75</v>
      </c>
      <c r="M10" t="s">
        <v>42</v>
      </c>
      <c r="N10" t="s">
        <v>42</v>
      </c>
      <c r="O10" t="s">
        <v>46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</row>
    <row r="11" spans="1:24" x14ac:dyDescent="0.25">
      <c r="A11" t="s">
        <v>68</v>
      </c>
      <c r="B11">
        <v>14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4</v>
      </c>
      <c r="L11">
        <f>SUM($K$5:K11)</f>
        <v>79</v>
      </c>
      <c r="M11" t="s">
        <v>42</v>
      </c>
      <c r="N11" t="s">
        <v>46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</row>
    <row r="12" spans="1:24" x14ac:dyDescent="0.25">
      <c r="A12" t="s">
        <v>72</v>
      </c>
      <c r="B12">
        <v>14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213</v>
      </c>
      <c r="K12">
        <v>2</v>
      </c>
      <c r="L12">
        <f>SUM($K$5:K12)</f>
        <v>81</v>
      </c>
      <c r="M12" t="s">
        <v>46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</row>
    <row r="13" spans="1:24" x14ac:dyDescent="0.25">
      <c r="A13" t="s">
        <v>76</v>
      </c>
      <c r="B13">
        <v>14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4</v>
      </c>
      <c r="L13">
        <f>SUM($K$5:K13)</f>
        <v>85</v>
      </c>
      <c r="M13" t="s">
        <v>42</v>
      </c>
      <c r="N13" t="s">
        <v>42</v>
      </c>
      <c r="O13" t="s">
        <v>42</v>
      </c>
      <c r="P13" t="s">
        <v>87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</row>
    <row r="14" spans="1:24" x14ac:dyDescent="0.25">
      <c r="A14" t="s">
        <v>130</v>
      </c>
      <c r="B14">
        <v>14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87</v>
      </c>
      <c r="M14" t="s">
        <v>42</v>
      </c>
      <c r="N14" t="s">
        <v>42</v>
      </c>
      <c r="O14" t="s">
        <v>42</v>
      </c>
      <c r="P14" t="s">
        <v>42</v>
      </c>
      <c r="Q14" t="s">
        <v>87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</row>
    <row r="15" spans="1:24" x14ac:dyDescent="0.25">
      <c r="A15" t="s">
        <v>131</v>
      </c>
      <c r="B15">
        <v>14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89</v>
      </c>
      <c r="M15" t="s">
        <v>42</v>
      </c>
      <c r="N15" t="s">
        <v>87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</row>
    <row r="16" spans="1:24" x14ac:dyDescent="0.25">
      <c r="A16" t="s">
        <v>132</v>
      </c>
      <c r="B16">
        <v>14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210</v>
      </c>
      <c r="K16">
        <v>4</v>
      </c>
      <c r="L16">
        <f>SUM($K$5:K16)</f>
        <v>93</v>
      </c>
      <c r="M16" t="s">
        <v>42</v>
      </c>
      <c r="N16" t="s">
        <v>42</v>
      </c>
      <c r="O16" t="s">
        <v>87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</row>
    <row r="17" spans="1:24" x14ac:dyDescent="0.25">
      <c r="A17" t="s">
        <v>133</v>
      </c>
      <c r="B17">
        <v>14</v>
      </c>
      <c r="C17">
        <v>13</v>
      </c>
      <c r="D17">
        <v>14</v>
      </c>
      <c r="E17" t="s">
        <v>42</v>
      </c>
      <c r="F17" t="s">
        <v>42</v>
      </c>
      <c r="G17" t="s">
        <v>85</v>
      </c>
      <c r="H17" t="s">
        <v>42</v>
      </c>
      <c r="I17">
        <v>13</v>
      </c>
      <c r="J17" t="s">
        <v>42</v>
      </c>
      <c r="K17">
        <v>60</v>
      </c>
      <c r="L17">
        <f>SUM($K$5:K17)</f>
        <v>153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101</v>
      </c>
      <c r="S17" t="s">
        <v>102</v>
      </c>
      <c r="T17" t="s">
        <v>214</v>
      </c>
      <c r="U17" t="s">
        <v>42</v>
      </c>
      <c r="V17">
        <v>1</v>
      </c>
      <c r="W17" t="s">
        <v>42</v>
      </c>
      <c r="X17" t="s">
        <v>215</v>
      </c>
    </row>
    <row r="18" spans="1:24" x14ac:dyDescent="0.25">
      <c r="A18" t="s">
        <v>145</v>
      </c>
      <c r="B18">
        <v>14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1</v>
      </c>
      <c r="L18">
        <f>SUM($K$5:K18)</f>
        <v>154</v>
      </c>
      <c r="M18" t="s">
        <v>42</v>
      </c>
      <c r="N18" t="s">
        <v>42</v>
      </c>
      <c r="O18" t="s">
        <v>42</v>
      </c>
      <c r="P18" t="s">
        <v>46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</row>
    <row r="19" spans="1:24" x14ac:dyDescent="0.25">
      <c r="A19" t="s">
        <v>146</v>
      </c>
      <c r="B19">
        <v>14</v>
      </c>
      <c r="C19">
        <v>15</v>
      </c>
      <c r="D19">
        <v>16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4</v>
      </c>
      <c r="L19">
        <f>SUM($K$5:K19)</f>
        <v>158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216</v>
      </c>
      <c r="S19" t="s">
        <v>107</v>
      </c>
      <c r="T19" t="s">
        <v>217</v>
      </c>
      <c r="U19" t="s">
        <v>42</v>
      </c>
      <c r="V19">
        <v>1</v>
      </c>
      <c r="W19" t="s">
        <v>218</v>
      </c>
      <c r="X19" t="s">
        <v>219</v>
      </c>
    </row>
    <row r="20" spans="1:24" x14ac:dyDescent="0.25">
      <c r="A20" t="s">
        <v>148</v>
      </c>
      <c r="B20">
        <v>14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160</v>
      </c>
      <c r="M20" t="s">
        <v>42</v>
      </c>
      <c r="N20" t="s">
        <v>42</v>
      </c>
      <c r="O20" t="s">
        <v>46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</row>
    <row r="21" spans="1:24" x14ac:dyDescent="0.25">
      <c r="A21" t="s">
        <v>149</v>
      </c>
      <c r="B21">
        <v>14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4</v>
      </c>
      <c r="L21">
        <f>SUM($K$5:K21)</f>
        <v>164</v>
      </c>
      <c r="M21" t="s">
        <v>42</v>
      </c>
      <c r="N21" t="s">
        <v>46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</row>
    <row r="22" spans="1:24" x14ac:dyDescent="0.25">
      <c r="A22" t="s">
        <v>150</v>
      </c>
      <c r="B22">
        <v>14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220</v>
      </c>
      <c r="K22">
        <v>1</v>
      </c>
      <c r="L22">
        <f>SUM($K$5:K22)</f>
        <v>165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</row>
    <row r="23" spans="1:24" x14ac:dyDescent="0.25">
      <c r="A23" t="s">
        <v>151</v>
      </c>
      <c r="B23">
        <v>14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167</v>
      </c>
      <c r="M23" t="s">
        <v>42</v>
      </c>
      <c r="N23" t="s">
        <v>87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</row>
    <row r="24" spans="1:24" x14ac:dyDescent="0.25">
      <c r="A24" t="s">
        <v>152</v>
      </c>
      <c r="B24">
        <v>14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169</v>
      </c>
      <c r="M24" t="s">
        <v>42</v>
      </c>
      <c r="N24" t="s">
        <v>42</v>
      </c>
      <c r="O24" t="s">
        <v>87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</row>
    <row r="25" spans="1:24" x14ac:dyDescent="0.25">
      <c r="A25" t="s">
        <v>153</v>
      </c>
      <c r="B25">
        <v>14</v>
      </c>
      <c r="C25">
        <v>21</v>
      </c>
      <c r="D25" t="s">
        <v>42</v>
      </c>
      <c r="E25" t="s">
        <v>42</v>
      </c>
      <c r="F25" t="s">
        <v>221</v>
      </c>
      <c r="G25" t="s">
        <v>85</v>
      </c>
      <c r="H25" t="s">
        <v>42</v>
      </c>
      <c r="I25" t="s">
        <v>42</v>
      </c>
      <c r="J25" t="s">
        <v>222</v>
      </c>
      <c r="K25">
        <v>2</v>
      </c>
      <c r="L25">
        <f>SUM($K$5:K25)</f>
        <v>171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223</v>
      </c>
    </row>
    <row r="26" spans="1:24" x14ac:dyDescent="0.25">
      <c r="A26" t="s">
        <v>154</v>
      </c>
      <c r="B26">
        <v>14</v>
      </c>
      <c r="C26">
        <v>22</v>
      </c>
      <c r="D26">
        <v>23</v>
      </c>
      <c r="E26" t="s">
        <v>42</v>
      </c>
      <c r="F26" t="s">
        <v>42</v>
      </c>
      <c r="G26" t="s">
        <v>85</v>
      </c>
      <c r="H26" t="s">
        <v>42</v>
      </c>
      <c r="I26">
        <v>22</v>
      </c>
      <c r="J26" t="s">
        <v>42</v>
      </c>
      <c r="K26">
        <v>60</v>
      </c>
      <c r="L26">
        <f>SUM($K$5:K26)</f>
        <v>231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101</v>
      </c>
      <c r="S26" t="s">
        <v>102</v>
      </c>
      <c r="T26" t="s">
        <v>224</v>
      </c>
      <c r="U26" t="s">
        <v>42</v>
      </c>
      <c r="V26">
        <v>1</v>
      </c>
      <c r="W26" t="s">
        <v>42</v>
      </c>
      <c r="X26" t="s">
        <v>225</v>
      </c>
    </row>
    <row r="27" spans="1:24" x14ac:dyDescent="0.25">
      <c r="A27" t="s">
        <v>157</v>
      </c>
      <c r="B27">
        <v>14</v>
      </c>
      <c r="C27">
        <v>23</v>
      </c>
      <c r="D27">
        <v>24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233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226</v>
      </c>
      <c r="S27" t="s">
        <v>107</v>
      </c>
      <c r="T27" t="s">
        <v>227</v>
      </c>
      <c r="U27" t="s">
        <v>42</v>
      </c>
      <c r="V27">
        <v>1</v>
      </c>
      <c r="W27" t="s">
        <v>218</v>
      </c>
      <c r="X27" t="s">
        <v>228</v>
      </c>
    </row>
    <row r="28" spans="1:24" x14ac:dyDescent="0.25">
      <c r="A28" t="s">
        <v>158</v>
      </c>
      <c r="B28">
        <v>14</v>
      </c>
      <c r="C28">
        <v>24</v>
      </c>
      <c r="D28" t="s">
        <v>42</v>
      </c>
      <c r="E28" t="s">
        <v>42</v>
      </c>
      <c r="F28" t="s">
        <v>42</v>
      </c>
      <c r="G28" t="s">
        <v>85</v>
      </c>
      <c r="H28" t="s">
        <v>42</v>
      </c>
      <c r="I28" t="s">
        <v>42</v>
      </c>
      <c r="J28" t="s">
        <v>42</v>
      </c>
      <c r="K28">
        <v>2</v>
      </c>
      <c r="L28">
        <f>SUM($K$5:K28)</f>
        <v>235</v>
      </c>
      <c r="M28" t="s">
        <v>42</v>
      </c>
      <c r="N28" t="s">
        <v>42</v>
      </c>
      <c r="O28" t="s">
        <v>46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</row>
    <row r="29" spans="1:24" x14ac:dyDescent="0.25">
      <c r="A29" t="s">
        <v>229</v>
      </c>
      <c r="B29">
        <v>14</v>
      </c>
      <c r="C29">
        <v>25</v>
      </c>
      <c r="D29" t="s">
        <v>42</v>
      </c>
      <c r="E29" t="s">
        <v>42</v>
      </c>
      <c r="F29" t="s">
        <v>42</v>
      </c>
      <c r="G29" t="s">
        <v>85</v>
      </c>
      <c r="H29" t="s">
        <v>42</v>
      </c>
      <c r="I29" t="s">
        <v>42</v>
      </c>
      <c r="J29" t="s">
        <v>42</v>
      </c>
      <c r="K29">
        <v>2</v>
      </c>
      <c r="L29">
        <f>SUM($K$5:K29)</f>
        <v>237</v>
      </c>
      <c r="M29" t="s">
        <v>42</v>
      </c>
      <c r="N29" t="s">
        <v>46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</row>
    <row r="30" spans="1:24" x14ac:dyDescent="0.25">
      <c r="A30" t="s">
        <v>230</v>
      </c>
      <c r="B30">
        <v>14</v>
      </c>
      <c r="C30">
        <v>26</v>
      </c>
      <c r="D30" t="s">
        <v>42</v>
      </c>
      <c r="E30" t="s">
        <v>42</v>
      </c>
      <c r="F30" t="s">
        <v>42</v>
      </c>
      <c r="G30" t="s">
        <v>85</v>
      </c>
      <c r="H30" t="s">
        <v>42</v>
      </c>
      <c r="I30" t="s">
        <v>42</v>
      </c>
      <c r="J30" t="s">
        <v>42</v>
      </c>
      <c r="K30">
        <v>2</v>
      </c>
      <c r="L30">
        <f>SUM($K$5:K30)</f>
        <v>239</v>
      </c>
      <c r="M30" t="s">
        <v>42</v>
      </c>
      <c r="N30" t="s">
        <v>42</v>
      </c>
      <c r="O30" t="s">
        <v>42</v>
      </c>
      <c r="P30" t="s">
        <v>42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</row>
    <row r="31" spans="1:24" x14ac:dyDescent="0.25">
      <c r="A31" t="s">
        <v>231</v>
      </c>
      <c r="B31">
        <v>14</v>
      </c>
      <c r="C31">
        <v>27</v>
      </c>
      <c r="D31" t="s">
        <v>42</v>
      </c>
      <c r="E31" t="s">
        <v>232</v>
      </c>
      <c r="F31" t="s">
        <v>42</v>
      </c>
      <c r="G31" t="s">
        <v>85</v>
      </c>
      <c r="H31" t="s">
        <v>42</v>
      </c>
      <c r="I31" t="s">
        <v>42</v>
      </c>
      <c r="J31" t="s">
        <v>233</v>
      </c>
      <c r="K31">
        <v>1</v>
      </c>
      <c r="L31">
        <f>SUM($K$5:K31)</f>
        <v>240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365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366</v>
      </c>
      <c r="F5" t="s">
        <v>42</v>
      </c>
      <c r="G5" t="s">
        <v>85</v>
      </c>
      <c r="H5" t="s">
        <v>42</v>
      </c>
      <c r="I5" t="s">
        <v>42</v>
      </c>
      <c r="J5" t="s">
        <v>367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300</v>
      </c>
    </row>
    <row r="6" spans="1:35" x14ac:dyDescent="0.25">
      <c r="A6" t="s">
        <v>48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85</v>
      </c>
      <c r="H6" t="s">
        <v>42</v>
      </c>
      <c r="I6" t="s">
        <v>42</v>
      </c>
      <c r="J6" t="s">
        <v>93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201</v>
      </c>
    </row>
    <row r="7" spans="1:35" x14ac:dyDescent="0.25">
      <c r="A7" t="s">
        <v>52</v>
      </c>
      <c r="B7">
        <v>15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87</v>
      </c>
      <c r="Y7" t="s">
        <v>42</v>
      </c>
      <c r="Z7" t="s">
        <v>42</v>
      </c>
      <c r="AA7" t="s">
        <v>42</v>
      </c>
      <c r="AB7" t="s">
        <v>42</v>
      </c>
      <c r="AC7" t="s">
        <v>123</v>
      </c>
      <c r="AD7" t="s">
        <v>89</v>
      </c>
      <c r="AE7" t="s">
        <v>90</v>
      </c>
      <c r="AF7" t="s">
        <v>42</v>
      </c>
      <c r="AG7">
        <v>1</v>
      </c>
      <c r="AH7" t="s">
        <v>124</v>
      </c>
      <c r="AI7" t="s">
        <v>42</v>
      </c>
    </row>
    <row r="8" spans="1:35" x14ac:dyDescent="0.25">
      <c r="A8" t="s">
        <v>56</v>
      </c>
      <c r="B8">
        <v>15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87</v>
      </c>
      <c r="AC8" t="s">
        <v>175</v>
      </c>
      <c r="AD8" t="s">
        <v>176</v>
      </c>
      <c r="AE8" t="s">
        <v>177</v>
      </c>
      <c r="AF8" t="s">
        <v>42</v>
      </c>
      <c r="AG8">
        <v>1</v>
      </c>
      <c r="AH8" t="s">
        <v>128</v>
      </c>
      <c r="AI8" t="s">
        <v>42</v>
      </c>
    </row>
    <row r="9" spans="1:35" x14ac:dyDescent="0.25">
      <c r="A9" t="s">
        <v>60</v>
      </c>
      <c r="B9">
        <v>15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87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15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68</v>
      </c>
      <c r="B11">
        <v>15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72</v>
      </c>
      <c r="B12">
        <v>15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15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15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147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87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15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87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15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87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15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87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15</v>
      </c>
      <c r="C18">
        <v>14</v>
      </c>
      <c r="D18" t="s">
        <v>42</v>
      </c>
      <c r="E18" t="s">
        <v>42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15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15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149</v>
      </c>
      <c r="B21">
        <v>15</v>
      </c>
      <c r="C21">
        <v>17</v>
      </c>
      <c r="D21">
        <v>20</v>
      </c>
      <c r="E21" t="s">
        <v>42</v>
      </c>
      <c r="F21" t="s">
        <v>42</v>
      </c>
      <c r="G21" t="s">
        <v>85</v>
      </c>
      <c r="H21" t="s">
        <v>42</v>
      </c>
      <c r="I21" t="s">
        <v>48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101</v>
      </c>
      <c r="AD21" t="s">
        <v>102</v>
      </c>
      <c r="AE21" t="s">
        <v>368</v>
      </c>
      <c r="AF21" t="s">
        <v>42</v>
      </c>
      <c r="AG21">
        <v>1</v>
      </c>
      <c r="AH21" t="s">
        <v>42</v>
      </c>
      <c r="AI21" t="s">
        <v>369</v>
      </c>
    </row>
    <row r="22" spans="1:35" x14ac:dyDescent="0.25">
      <c r="A22" t="s">
        <v>152</v>
      </c>
      <c r="B22">
        <v>15</v>
      </c>
      <c r="C22">
        <v>18</v>
      </c>
      <c r="D22" t="s">
        <v>42</v>
      </c>
      <c r="E22" t="s">
        <v>370</v>
      </c>
      <c r="F22" t="s">
        <v>42</v>
      </c>
      <c r="G22" t="s">
        <v>85</v>
      </c>
      <c r="H22" t="s">
        <v>42</v>
      </c>
      <c r="I22" t="s">
        <v>42</v>
      </c>
      <c r="J22" t="s">
        <v>371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372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s="3" customFormat="1" x14ac:dyDescent="0.25">
      <c r="K3" s="3" t="s">
        <v>5</v>
      </c>
      <c r="L3" s="3" t="s">
        <v>5</v>
      </c>
    </row>
    <row r="4" spans="1:35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  <c r="S4" s="2" t="s">
        <v>24</v>
      </c>
      <c r="T4" s="2" t="s">
        <v>25</v>
      </c>
      <c r="U4" s="2" t="s">
        <v>26</v>
      </c>
      <c r="V4" s="2" t="s">
        <v>27</v>
      </c>
      <c r="W4" s="2" t="s">
        <v>28</v>
      </c>
      <c r="X4" s="2" t="s">
        <v>29</v>
      </c>
      <c r="Y4" s="2" t="s">
        <v>30</v>
      </c>
      <c r="Z4" s="2" t="s">
        <v>31</v>
      </c>
      <c r="AA4" s="2" t="s">
        <v>32</v>
      </c>
      <c r="AB4" s="2" t="s">
        <v>33</v>
      </c>
      <c r="AC4" s="2" t="s">
        <v>34</v>
      </c>
      <c r="AD4" s="2" t="s">
        <v>35</v>
      </c>
      <c r="AE4" s="2" t="s">
        <v>36</v>
      </c>
      <c r="AF4" s="2" t="s">
        <v>37</v>
      </c>
      <c r="AG4" s="2" t="s">
        <v>38</v>
      </c>
      <c r="AH4" s="2" t="s">
        <v>39</v>
      </c>
      <c r="AI4" s="2" t="s">
        <v>40</v>
      </c>
    </row>
    <row r="5" spans="1:35" x14ac:dyDescent="0.25">
      <c r="A5" t="s">
        <v>41</v>
      </c>
      <c r="B5">
        <v>16</v>
      </c>
      <c r="C5">
        <v>1</v>
      </c>
      <c r="D5" t="s">
        <v>42</v>
      </c>
      <c r="E5" t="s">
        <v>374</v>
      </c>
      <c r="F5" t="s">
        <v>42</v>
      </c>
      <c r="G5" t="s">
        <v>85</v>
      </c>
      <c r="H5" t="s">
        <v>42</v>
      </c>
      <c r="I5" t="s">
        <v>42</v>
      </c>
      <c r="J5" t="s">
        <v>82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83</v>
      </c>
    </row>
    <row r="6" spans="1:35" x14ac:dyDescent="0.25">
      <c r="A6" t="s">
        <v>48</v>
      </c>
      <c r="B6">
        <v>16</v>
      </c>
      <c r="C6">
        <v>2</v>
      </c>
      <c r="D6" t="s">
        <v>42</v>
      </c>
      <c r="E6" t="s">
        <v>93</v>
      </c>
      <c r="F6" t="s">
        <v>42</v>
      </c>
      <c r="G6" t="s">
        <v>85</v>
      </c>
      <c r="H6" t="s">
        <v>42</v>
      </c>
      <c r="I6" t="s">
        <v>42</v>
      </c>
      <c r="J6" t="s">
        <v>375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87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88</v>
      </c>
      <c r="AD6" t="s">
        <v>89</v>
      </c>
      <c r="AE6" t="s">
        <v>90</v>
      </c>
      <c r="AF6" t="s">
        <v>42</v>
      </c>
      <c r="AG6">
        <v>1</v>
      </c>
      <c r="AH6" t="s">
        <v>91</v>
      </c>
      <c r="AI6" t="s">
        <v>117</v>
      </c>
    </row>
    <row r="7" spans="1:35" x14ac:dyDescent="0.25">
      <c r="A7" t="s">
        <v>52</v>
      </c>
      <c r="B7">
        <v>16</v>
      </c>
      <c r="C7">
        <v>3</v>
      </c>
      <c r="D7" t="s">
        <v>42</v>
      </c>
      <c r="E7" t="s">
        <v>42</v>
      </c>
      <c r="F7" t="s">
        <v>42</v>
      </c>
      <c r="G7" t="s">
        <v>85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87</v>
      </c>
      <c r="AA7" t="s">
        <v>42</v>
      </c>
      <c r="AB7" t="s">
        <v>42</v>
      </c>
      <c r="AC7" t="s">
        <v>118</v>
      </c>
      <c r="AD7" t="s">
        <v>119</v>
      </c>
      <c r="AE7" t="s">
        <v>120</v>
      </c>
      <c r="AF7" t="s">
        <v>42</v>
      </c>
      <c r="AG7">
        <v>1</v>
      </c>
      <c r="AH7" t="s">
        <v>121</v>
      </c>
      <c r="AI7" t="s">
        <v>42</v>
      </c>
    </row>
    <row r="8" spans="1:35" x14ac:dyDescent="0.25">
      <c r="A8" t="s">
        <v>56</v>
      </c>
      <c r="B8">
        <v>16</v>
      </c>
      <c r="C8">
        <v>4</v>
      </c>
      <c r="D8" t="s">
        <v>42</v>
      </c>
      <c r="E8" t="s">
        <v>42</v>
      </c>
      <c r="F8" t="s">
        <v>42</v>
      </c>
      <c r="G8" t="s">
        <v>85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87</v>
      </c>
      <c r="Z8" t="s">
        <v>42</v>
      </c>
      <c r="AA8" t="s">
        <v>42</v>
      </c>
      <c r="AB8" t="s">
        <v>42</v>
      </c>
      <c r="AC8" t="s">
        <v>96</v>
      </c>
      <c r="AD8" t="s">
        <v>89</v>
      </c>
      <c r="AE8" t="s">
        <v>90</v>
      </c>
      <c r="AF8" t="s">
        <v>42</v>
      </c>
      <c r="AG8">
        <v>1</v>
      </c>
      <c r="AH8" t="s">
        <v>122</v>
      </c>
      <c r="AI8" t="s">
        <v>42</v>
      </c>
    </row>
    <row r="9" spans="1:35" x14ac:dyDescent="0.25">
      <c r="A9" t="s">
        <v>60</v>
      </c>
      <c r="B9">
        <v>16</v>
      </c>
      <c r="C9">
        <v>5</v>
      </c>
      <c r="D9" t="s">
        <v>42</v>
      </c>
      <c r="E9" t="s">
        <v>42</v>
      </c>
      <c r="F9" t="s">
        <v>42</v>
      </c>
      <c r="G9" t="s">
        <v>85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87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64</v>
      </c>
      <c r="B10">
        <v>16</v>
      </c>
      <c r="C10">
        <v>6</v>
      </c>
      <c r="D10" t="s">
        <v>42</v>
      </c>
      <c r="E10" t="s">
        <v>42</v>
      </c>
      <c r="F10" t="s">
        <v>42</v>
      </c>
      <c r="G10" t="s">
        <v>85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87</v>
      </c>
      <c r="AC10" t="s">
        <v>123</v>
      </c>
      <c r="AD10" t="s">
        <v>89</v>
      </c>
      <c r="AE10" t="s">
        <v>90</v>
      </c>
      <c r="AF10" t="s">
        <v>42</v>
      </c>
      <c r="AG10">
        <v>1</v>
      </c>
      <c r="AH10" t="s">
        <v>124</v>
      </c>
      <c r="AI10" t="s">
        <v>42</v>
      </c>
    </row>
    <row r="11" spans="1:35" x14ac:dyDescent="0.25">
      <c r="A11" t="s">
        <v>68</v>
      </c>
      <c r="B11">
        <v>16</v>
      </c>
      <c r="C11">
        <v>7</v>
      </c>
      <c r="D11" t="s">
        <v>42</v>
      </c>
      <c r="E11" t="s">
        <v>42</v>
      </c>
      <c r="F11" t="s">
        <v>42</v>
      </c>
      <c r="G11" t="s">
        <v>85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87</v>
      </c>
      <c r="AB11" t="s">
        <v>42</v>
      </c>
      <c r="AC11" t="s">
        <v>125</v>
      </c>
      <c r="AD11" t="s">
        <v>126</v>
      </c>
      <c r="AE11" t="s">
        <v>127</v>
      </c>
      <c r="AF11" t="s">
        <v>42</v>
      </c>
      <c r="AG11">
        <v>1</v>
      </c>
      <c r="AH11" t="s">
        <v>128</v>
      </c>
      <c r="AI11" t="s">
        <v>129</v>
      </c>
    </row>
    <row r="12" spans="1:35" x14ac:dyDescent="0.25">
      <c r="A12" t="s">
        <v>72</v>
      </c>
      <c r="B12">
        <v>16</v>
      </c>
      <c r="C12">
        <v>8</v>
      </c>
      <c r="D12" t="s">
        <v>42</v>
      </c>
      <c r="E12" t="s">
        <v>42</v>
      </c>
      <c r="F12" t="s">
        <v>42</v>
      </c>
      <c r="G12" t="s">
        <v>85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76</v>
      </c>
      <c r="B13">
        <v>16</v>
      </c>
      <c r="C13">
        <v>9</v>
      </c>
      <c r="D13" t="s">
        <v>42</v>
      </c>
      <c r="E13" t="s">
        <v>42</v>
      </c>
      <c r="F13" t="s">
        <v>42</v>
      </c>
      <c r="G13" t="s">
        <v>85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130</v>
      </c>
      <c r="B14">
        <v>16</v>
      </c>
      <c r="C14">
        <v>10</v>
      </c>
      <c r="D14" t="s">
        <v>42</v>
      </c>
      <c r="E14" t="s">
        <v>42</v>
      </c>
      <c r="F14" t="s">
        <v>42</v>
      </c>
      <c r="G14" t="s">
        <v>85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131</v>
      </c>
      <c r="B15">
        <v>16</v>
      </c>
      <c r="C15">
        <v>11</v>
      </c>
      <c r="D15" t="s">
        <v>42</v>
      </c>
      <c r="E15" t="s">
        <v>42</v>
      </c>
      <c r="F15" t="s">
        <v>42</v>
      </c>
      <c r="G15" t="s">
        <v>85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132</v>
      </c>
      <c r="B16">
        <v>16</v>
      </c>
      <c r="C16">
        <v>12</v>
      </c>
      <c r="D16" t="s">
        <v>42</v>
      </c>
      <c r="E16" t="s">
        <v>42</v>
      </c>
      <c r="F16" t="s">
        <v>42</v>
      </c>
      <c r="G16" t="s">
        <v>85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133</v>
      </c>
      <c r="B17">
        <v>16</v>
      </c>
      <c r="C17">
        <v>13</v>
      </c>
      <c r="D17" t="s">
        <v>42</v>
      </c>
      <c r="E17" t="s">
        <v>42</v>
      </c>
      <c r="F17" t="s">
        <v>42</v>
      </c>
      <c r="G17" t="s">
        <v>85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145</v>
      </c>
      <c r="B18">
        <v>16</v>
      </c>
      <c r="C18">
        <v>14</v>
      </c>
      <c r="D18" t="s">
        <v>42</v>
      </c>
      <c r="E18" t="s">
        <v>147</v>
      </c>
      <c r="F18" t="s">
        <v>42</v>
      </c>
      <c r="G18" t="s">
        <v>85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87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146</v>
      </c>
      <c r="B19">
        <v>16</v>
      </c>
      <c r="C19">
        <v>15</v>
      </c>
      <c r="D19" t="s">
        <v>42</v>
      </c>
      <c r="E19" t="s">
        <v>42</v>
      </c>
      <c r="F19" t="s">
        <v>42</v>
      </c>
      <c r="G19" t="s">
        <v>85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87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148</v>
      </c>
      <c r="B20">
        <v>16</v>
      </c>
      <c r="C20">
        <v>16</v>
      </c>
      <c r="D20" t="s">
        <v>42</v>
      </c>
      <c r="E20" t="s">
        <v>42</v>
      </c>
      <c r="F20" t="s">
        <v>42</v>
      </c>
      <c r="G20" t="s">
        <v>85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87</v>
      </c>
      <c r="AB20" t="s">
        <v>42</v>
      </c>
      <c r="AC20" t="s">
        <v>123</v>
      </c>
      <c r="AD20" t="s">
        <v>102</v>
      </c>
      <c r="AE20" t="s">
        <v>376</v>
      </c>
      <c r="AF20" t="s">
        <v>42</v>
      </c>
      <c r="AG20">
        <v>1</v>
      </c>
      <c r="AH20" t="s">
        <v>377</v>
      </c>
      <c r="AI20" t="s">
        <v>42</v>
      </c>
    </row>
    <row r="21" spans="1:35" x14ac:dyDescent="0.25">
      <c r="A21" t="s">
        <v>149</v>
      </c>
      <c r="B21">
        <v>16</v>
      </c>
      <c r="C21">
        <v>17</v>
      </c>
      <c r="D21" t="s">
        <v>42</v>
      </c>
      <c r="E21" t="s">
        <v>42</v>
      </c>
      <c r="F21" t="s">
        <v>42</v>
      </c>
      <c r="G21" t="s">
        <v>85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87</v>
      </c>
      <c r="AC21" t="s">
        <v>96</v>
      </c>
      <c r="AD21" t="s">
        <v>102</v>
      </c>
      <c r="AE21" t="s">
        <v>376</v>
      </c>
      <c r="AF21" t="s">
        <v>42</v>
      </c>
      <c r="AG21">
        <v>1</v>
      </c>
      <c r="AH21" t="s">
        <v>378</v>
      </c>
      <c r="AI21" t="s">
        <v>42</v>
      </c>
    </row>
    <row r="22" spans="1:35" x14ac:dyDescent="0.25">
      <c r="A22" t="s">
        <v>150</v>
      </c>
      <c r="B22">
        <v>16</v>
      </c>
      <c r="C22">
        <v>18</v>
      </c>
      <c r="D22" t="s">
        <v>42</v>
      </c>
      <c r="E22" t="s">
        <v>42</v>
      </c>
      <c r="F22" t="s">
        <v>42</v>
      </c>
      <c r="G22" t="s">
        <v>85</v>
      </c>
      <c r="H22" t="s">
        <v>42</v>
      </c>
      <c r="I22" t="s">
        <v>42</v>
      </c>
      <c r="J22" t="s">
        <v>42</v>
      </c>
      <c r="K22">
        <v>5</v>
      </c>
      <c r="L22">
        <f>SUM($K$5:K22)</f>
        <v>38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87</v>
      </c>
      <c r="Z22" t="s">
        <v>42</v>
      </c>
      <c r="AA22" t="s">
        <v>42</v>
      </c>
      <c r="AB22" t="s">
        <v>42</v>
      </c>
      <c r="AC22" t="s">
        <v>379</v>
      </c>
      <c r="AD22" t="s">
        <v>380</v>
      </c>
      <c r="AE22" t="s">
        <v>381</v>
      </c>
      <c r="AF22" t="s">
        <v>42</v>
      </c>
      <c r="AG22">
        <v>1</v>
      </c>
      <c r="AH22" t="s">
        <v>382</v>
      </c>
      <c r="AI22" t="s">
        <v>42</v>
      </c>
    </row>
    <row r="23" spans="1:35" x14ac:dyDescent="0.25">
      <c r="A23" t="s">
        <v>151</v>
      </c>
      <c r="B23">
        <v>16</v>
      </c>
      <c r="C23">
        <v>19</v>
      </c>
      <c r="D23" t="s">
        <v>42</v>
      </c>
      <c r="E23" t="s">
        <v>42</v>
      </c>
      <c r="F23" t="s">
        <v>42</v>
      </c>
      <c r="G23" t="s">
        <v>85</v>
      </c>
      <c r="H23" t="s">
        <v>42</v>
      </c>
      <c r="I23" t="s">
        <v>42</v>
      </c>
      <c r="J23" t="s">
        <v>42</v>
      </c>
      <c r="K23">
        <v>2</v>
      </c>
      <c r="L23">
        <f>SUM($K$5:K23)</f>
        <v>40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46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152</v>
      </c>
      <c r="B24">
        <v>16</v>
      </c>
      <c r="C24">
        <v>20</v>
      </c>
      <c r="D24" t="s">
        <v>42</v>
      </c>
      <c r="E24" t="s">
        <v>42</v>
      </c>
      <c r="F24" t="s">
        <v>42</v>
      </c>
      <c r="G24" t="s">
        <v>85</v>
      </c>
      <c r="H24" t="s">
        <v>42</v>
      </c>
      <c r="I24" t="s">
        <v>42</v>
      </c>
      <c r="J24" t="s">
        <v>42</v>
      </c>
      <c r="K24">
        <v>2</v>
      </c>
      <c r="L24">
        <f>SUM($K$5:K24)</f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46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153</v>
      </c>
      <c r="B25">
        <v>16</v>
      </c>
      <c r="C25">
        <v>21</v>
      </c>
      <c r="D25" t="s">
        <v>42</v>
      </c>
      <c r="E25" t="s">
        <v>42</v>
      </c>
      <c r="F25" t="s">
        <v>42</v>
      </c>
      <c r="G25" t="s">
        <v>85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44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46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154</v>
      </c>
      <c r="B26">
        <v>16</v>
      </c>
      <c r="C26">
        <v>22</v>
      </c>
      <c r="D26" t="s">
        <v>42</v>
      </c>
      <c r="E26" t="s">
        <v>42</v>
      </c>
      <c r="F26" t="s">
        <v>42</v>
      </c>
      <c r="G26" t="s">
        <v>85</v>
      </c>
      <c r="H26" t="s">
        <v>42</v>
      </c>
      <c r="I26" t="s">
        <v>42</v>
      </c>
      <c r="J26" t="s">
        <v>42</v>
      </c>
      <c r="K26">
        <v>2</v>
      </c>
      <c r="L26">
        <f>SUM($K$5:K26)</f>
        <v>46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46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</row>
    <row r="27" spans="1:35" x14ac:dyDescent="0.25">
      <c r="A27" t="s">
        <v>157</v>
      </c>
      <c r="B27">
        <v>16</v>
      </c>
      <c r="C27">
        <v>23</v>
      </c>
      <c r="D27" t="s">
        <v>42</v>
      </c>
      <c r="E27" t="s">
        <v>42</v>
      </c>
      <c r="F27" t="s">
        <v>42</v>
      </c>
      <c r="G27" t="s">
        <v>85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48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46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158</v>
      </c>
      <c r="B28">
        <v>16</v>
      </c>
      <c r="C28">
        <v>24</v>
      </c>
      <c r="D28" t="s">
        <v>42</v>
      </c>
      <c r="E28" t="s">
        <v>383</v>
      </c>
      <c r="F28" t="s">
        <v>42</v>
      </c>
      <c r="G28" t="s">
        <v>85</v>
      </c>
      <c r="H28" t="s">
        <v>42</v>
      </c>
      <c r="I28" t="s">
        <v>42</v>
      </c>
      <c r="J28" t="s">
        <v>42</v>
      </c>
      <c r="K28">
        <v>2</v>
      </c>
      <c r="L28">
        <f>SUM($K$5:K28)</f>
        <v>50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87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</row>
    <row r="29" spans="1:35" x14ac:dyDescent="0.25">
      <c r="A29" t="s">
        <v>229</v>
      </c>
      <c r="B29">
        <v>16</v>
      </c>
      <c r="C29">
        <v>25</v>
      </c>
      <c r="D29" t="s">
        <v>42</v>
      </c>
      <c r="E29" t="s">
        <v>42</v>
      </c>
      <c r="F29" t="s">
        <v>42</v>
      </c>
      <c r="G29" t="s">
        <v>85</v>
      </c>
      <c r="H29" t="s">
        <v>42</v>
      </c>
      <c r="I29" t="s">
        <v>42</v>
      </c>
      <c r="J29" t="s">
        <v>42</v>
      </c>
      <c r="K29">
        <v>2</v>
      </c>
      <c r="L29">
        <f>SUM($K$5:K29)</f>
        <v>52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87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42</v>
      </c>
    </row>
    <row r="30" spans="1:35" x14ac:dyDescent="0.25">
      <c r="A30" t="s">
        <v>230</v>
      </c>
      <c r="B30">
        <v>16</v>
      </c>
      <c r="C30">
        <v>26</v>
      </c>
      <c r="D30" t="s">
        <v>42</v>
      </c>
      <c r="E30" t="s">
        <v>42</v>
      </c>
      <c r="F30" t="s">
        <v>42</v>
      </c>
      <c r="G30" t="s">
        <v>85</v>
      </c>
      <c r="H30" t="s">
        <v>42</v>
      </c>
      <c r="I30" t="s">
        <v>42</v>
      </c>
      <c r="J30" t="s">
        <v>42</v>
      </c>
      <c r="K30">
        <v>2</v>
      </c>
      <c r="L30">
        <f>SUM($K$5:K30)</f>
        <v>54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87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</row>
    <row r="31" spans="1:35" x14ac:dyDescent="0.25">
      <c r="A31" t="s">
        <v>231</v>
      </c>
      <c r="B31">
        <v>16</v>
      </c>
      <c r="C31">
        <v>27</v>
      </c>
      <c r="D31" t="s">
        <v>42</v>
      </c>
      <c r="E31" t="s">
        <v>42</v>
      </c>
      <c r="F31" t="s">
        <v>42</v>
      </c>
      <c r="G31" t="s">
        <v>85</v>
      </c>
      <c r="H31" t="s">
        <v>42</v>
      </c>
      <c r="I31" t="s">
        <v>42</v>
      </c>
      <c r="J31" t="s">
        <v>42</v>
      </c>
      <c r="K31">
        <v>2</v>
      </c>
      <c r="L31">
        <f>SUM($K$5:K31)</f>
        <v>56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87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 t="s">
        <v>42</v>
      </c>
    </row>
    <row r="32" spans="1:35" x14ac:dyDescent="0.25">
      <c r="A32" t="s">
        <v>264</v>
      </c>
      <c r="B32">
        <v>16</v>
      </c>
      <c r="C32">
        <v>28</v>
      </c>
      <c r="D32" t="s">
        <v>42</v>
      </c>
      <c r="E32" t="s">
        <v>42</v>
      </c>
      <c r="F32" t="s">
        <v>42</v>
      </c>
      <c r="G32" t="s">
        <v>85</v>
      </c>
      <c r="H32" t="s">
        <v>42</v>
      </c>
      <c r="I32" t="s">
        <v>42</v>
      </c>
      <c r="J32" t="s">
        <v>42</v>
      </c>
      <c r="K32">
        <v>2</v>
      </c>
      <c r="L32">
        <f>SUM($K$5:K32)</f>
        <v>58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87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 t="s">
        <v>42</v>
      </c>
    </row>
    <row r="33" spans="1:35" x14ac:dyDescent="0.25">
      <c r="A33" t="s">
        <v>384</v>
      </c>
      <c r="B33">
        <v>16</v>
      </c>
      <c r="C33">
        <v>29</v>
      </c>
      <c r="D33" t="s">
        <v>42</v>
      </c>
      <c r="E33" t="s">
        <v>385</v>
      </c>
      <c r="F33" t="s">
        <v>42</v>
      </c>
      <c r="G33" t="s">
        <v>85</v>
      </c>
      <c r="H33" t="s">
        <v>42</v>
      </c>
      <c r="I33" t="s">
        <v>42</v>
      </c>
      <c r="J33" t="s">
        <v>42</v>
      </c>
      <c r="K33">
        <v>2</v>
      </c>
      <c r="L33">
        <f>SUM($K$5:K33)</f>
        <v>60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87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42</v>
      </c>
      <c r="AI33" t="s">
        <v>42</v>
      </c>
    </row>
    <row r="34" spans="1:35" x14ac:dyDescent="0.25">
      <c r="A34" t="s">
        <v>272</v>
      </c>
      <c r="B34">
        <v>16</v>
      </c>
      <c r="C34">
        <v>30</v>
      </c>
      <c r="D34" t="s">
        <v>42</v>
      </c>
      <c r="E34" t="s">
        <v>42</v>
      </c>
      <c r="F34" t="s">
        <v>42</v>
      </c>
      <c r="G34" t="s">
        <v>85</v>
      </c>
      <c r="H34" t="s">
        <v>42</v>
      </c>
      <c r="I34" t="s">
        <v>42</v>
      </c>
      <c r="J34" t="s">
        <v>42</v>
      </c>
      <c r="K34">
        <v>2</v>
      </c>
      <c r="L34">
        <f>SUM($K$5:K34)</f>
        <v>62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46</v>
      </c>
      <c r="AB34" t="s">
        <v>42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 t="s">
        <v>42</v>
      </c>
      <c r="AI34" t="s">
        <v>42</v>
      </c>
    </row>
    <row r="35" spans="1:35" x14ac:dyDescent="0.25">
      <c r="A35" t="s">
        <v>282</v>
      </c>
      <c r="B35">
        <v>16</v>
      </c>
      <c r="C35">
        <v>31</v>
      </c>
      <c r="D35" t="s">
        <v>42</v>
      </c>
      <c r="E35" t="s">
        <v>42</v>
      </c>
      <c r="F35" t="s">
        <v>42</v>
      </c>
      <c r="G35" t="s">
        <v>85</v>
      </c>
      <c r="H35" t="s">
        <v>42</v>
      </c>
      <c r="I35" t="s">
        <v>42</v>
      </c>
      <c r="J35" t="s">
        <v>42</v>
      </c>
      <c r="K35">
        <v>2</v>
      </c>
      <c r="L35">
        <f>SUM($K$5:K35)</f>
        <v>64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46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 t="s">
        <v>42</v>
      </c>
    </row>
    <row r="36" spans="1:35" x14ac:dyDescent="0.25">
      <c r="A36" t="s">
        <v>285</v>
      </c>
      <c r="B36">
        <v>16</v>
      </c>
      <c r="C36">
        <v>32</v>
      </c>
      <c r="D36" t="s">
        <v>42</v>
      </c>
      <c r="E36" t="s">
        <v>42</v>
      </c>
      <c r="F36" t="s">
        <v>42</v>
      </c>
      <c r="G36" t="s">
        <v>85</v>
      </c>
      <c r="H36" t="s">
        <v>42</v>
      </c>
      <c r="I36" t="s">
        <v>42</v>
      </c>
      <c r="J36" t="s">
        <v>42</v>
      </c>
      <c r="K36">
        <v>2</v>
      </c>
      <c r="L36">
        <f>SUM($K$5:K36)</f>
        <v>66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46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  <c r="AI36" t="s">
        <v>42</v>
      </c>
    </row>
    <row r="37" spans="1:35" x14ac:dyDescent="0.25">
      <c r="A37" t="s">
        <v>292</v>
      </c>
      <c r="B37">
        <v>16</v>
      </c>
      <c r="C37">
        <v>33</v>
      </c>
      <c r="D37" t="s">
        <v>42</v>
      </c>
      <c r="E37" t="s">
        <v>42</v>
      </c>
      <c r="F37" t="s">
        <v>42</v>
      </c>
      <c r="G37" t="s">
        <v>85</v>
      </c>
      <c r="H37" t="s">
        <v>42</v>
      </c>
      <c r="I37" t="s">
        <v>42</v>
      </c>
      <c r="J37" t="s">
        <v>42</v>
      </c>
      <c r="K37">
        <v>2</v>
      </c>
      <c r="L37">
        <f>SUM($K$5:K37)</f>
        <v>68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46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  <c r="AI37" t="s">
        <v>42</v>
      </c>
    </row>
    <row r="38" spans="1:35" x14ac:dyDescent="0.25">
      <c r="A38" t="s">
        <v>386</v>
      </c>
      <c r="B38">
        <v>16</v>
      </c>
      <c r="C38">
        <v>34</v>
      </c>
      <c r="D38" t="s">
        <v>42</v>
      </c>
      <c r="E38" t="s">
        <v>42</v>
      </c>
      <c r="F38" t="s">
        <v>42</v>
      </c>
      <c r="G38" t="s">
        <v>85</v>
      </c>
      <c r="H38" t="s">
        <v>42</v>
      </c>
      <c r="I38" t="s">
        <v>42</v>
      </c>
      <c r="J38" t="s">
        <v>42</v>
      </c>
      <c r="K38">
        <v>2</v>
      </c>
      <c r="L38">
        <f>SUM($K$5:K38)</f>
        <v>70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46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 t="s">
        <v>42</v>
      </c>
    </row>
    <row r="39" spans="1:35" x14ac:dyDescent="0.25">
      <c r="A39" t="s">
        <v>387</v>
      </c>
      <c r="B39">
        <v>16</v>
      </c>
      <c r="C39">
        <v>35</v>
      </c>
      <c r="D39" t="s">
        <v>42</v>
      </c>
      <c r="E39" t="s">
        <v>388</v>
      </c>
      <c r="F39" t="s">
        <v>42</v>
      </c>
      <c r="G39" t="s">
        <v>85</v>
      </c>
      <c r="H39" t="s">
        <v>42</v>
      </c>
      <c r="I39" t="s">
        <v>42</v>
      </c>
      <c r="J39" t="s">
        <v>42</v>
      </c>
      <c r="K39">
        <v>1</v>
      </c>
      <c r="L39">
        <f>SUM($K$5:K39)</f>
        <v>71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s">
        <v>42</v>
      </c>
      <c r="AI39" t="s">
        <v>42</v>
      </c>
    </row>
    <row r="40" spans="1:35" x14ac:dyDescent="0.25">
      <c r="A40" t="s">
        <v>389</v>
      </c>
      <c r="B40">
        <v>16</v>
      </c>
      <c r="C40">
        <v>36</v>
      </c>
      <c r="D40" t="s">
        <v>42</v>
      </c>
      <c r="E40" t="s">
        <v>390</v>
      </c>
      <c r="F40" t="s">
        <v>42</v>
      </c>
      <c r="G40" t="s">
        <v>85</v>
      </c>
      <c r="H40" t="s">
        <v>42</v>
      </c>
      <c r="I40" t="s">
        <v>42</v>
      </c>
      <c r="J40" t="s">
        <v>391</v>
      </c>
      <c r="K40">
        <v>2</v>
      </c>
      <c r="L40">
        <f>SUM($K$5:K40)</f>
        <v>73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392</v>
      </c>
      <c r="AD40" t="s">
        <v>393</v>
      </c>
      <c r="AE40" t="s">
        <v>42</v>
      </c>
      <c r="AF40" t="s">
        <v>42</v>
      </c>
      <c r="AG40" t="s">
        <v>42</v>
      </c>
      <c r="AH40" t="s">
        <v>42</v>
      </c>
      <c r="AI40" t="s">
        <v>394</v>
      </c>
    </row>
    <row r="41" spans="1:35" x14ac:dyDescent="0.25">
      <c r="A41" t="s">
        <v>395</v>
      </c>
      <c r="B41">
        <v>16</v>
      </c>
      <c r="C41">
        <v>37</v>
      </c>
      <c r="D41" t="s">
        <v>42</v>
      </c>
      <c r="E41" t="s">
        <v>42</v>
      </c>
      <c r="F41" t="s">
        <v>42</v>
      </c>
      <c r="G41" t="s">
        <v>85</v>
      </c>
      <c r="H41" t="s">
        <v>42</v>
      </c>
      <c r="I41" t="s">
        <v>42</v>
      </c>
      <c r="J41" t="s">
        <v>396</v>
      </c>
      <c r="K41">
        <v>1</v>
      </c>
      <c r="L41">
        <f>SUM($K$5:K41)</f>
        <v>74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397</v>
      </c>
      <c r="AD41" t="s">
        <v>398</v>
      </c>
      <c r="AE41" t="s">
        <v>399</v>
      </c>
      <c r="AF41" t="s">
        <v>42</v>
      </c>
      <c r="AG41">
        <v>1</v>
      </c>
      <c r="AH41" t="s">
        <v>400</v>
      </c>
      <c r="AI41" t="s">
        <v>401</v>
      </c>
    </row>
    <row r="42" spans="1:35" x14ac:dyDescent="0.25">
      <c r="A42" t="s">
        <v>134</v>
      </c>
      <c r="B42">
        <v>16</v>
      </c>
      <c r="C42">
        <v>38</v>
      </c>
      <c r="D42" t="s">
        <v>42</v>
      </c>
      <c r="E42" t="s">
        <v>402</v>
      </c>
      <c r="F42" t="s">
        <v>42</v>
      </c>
      <c r="G42" t="s">
        <v>85</v>
      </c>
      <c r="H42" t="s">
        <v>42</v>
      </c>
      <c r="I42" t="s">
        <v>42</v>
      </c>
      <c r="J42" t="s">
        <v>112</v>
      </c>
      <c r="K42">
        <v>1</v>
      </c>
      <c r="L42">
        <f>SUM($K$5:K42)</f>
        <v>75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  <c r="AI4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IdleCheck_v1</vt:lpstr>
      <vt:lpstr>Puls_v1</vt:lpstr>
      <vt:lpstr>OneP_v1</vt:lpstr>
      <vt:lpstr>OneP2_v1</vt:lpstr>
      <vt:lpstr>OneP3_v1</vt:lpstr>
      <vt:lpstr>OneP4_v1</vt:lpstr>
      <vt:lpstr>ExchL_v1</vt:lpstr>
      <vt:lpstr>TwoP_v1</vt:lpstr>
      <vt:lpstr>VtTest_v1</vt:lpstr>
      <vt:lpstr>CylReplace_v1</vt:lpstr>
      <vt:lpstr>Bypass_v1</vt:lpstr>
      <vt:lpstr>AfterThreeP_v1</vt:lpstr>
      <vt:lpstr>AfterPlusL_v1</vt:lpstr>
      <vt:lpstr>AfterVtTest_v1</vt:lpstr>
      <vt:lpstr>AfterFourP_v1</vt:lpstr>
      <vt:lpstr>AdjustMode_v1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2026-08-22T01:01:51Z</dcterms:created>
  <dcterms:modified xsi:type="dcterms:W3CDTF">2026-08-22T01:01:51Z</dcterms:modified>
</cp:coreProperties>
</file>