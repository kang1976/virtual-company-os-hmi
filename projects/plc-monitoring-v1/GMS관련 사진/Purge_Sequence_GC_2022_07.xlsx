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asChem생산팀\가스계장\4. 해외 Office\3.Program\1. ALSg_싱가포르\0. Micron Fab10N,X,A\3. Micron Fab10A\1. DOC\03. Screen Tree &amp; Operation &amp; Sequence Chart\1. GC Type\"/>
    </mc:Choice>
  </mc:AlternateContent>
  <bookViews>
    <workbookView xWindow="0" yWindow="0" windowWidth="28800" windowHeight="12255" activeTab="2"/>
  </bookViews>
  <sheets>
    <sheet name="6. Purge_Cyl" sheetId="14" r:id="rId1"/>
    <sheet name="7. Purge_Man" sheetId="15" r:id="rId2"/>
    <sheet name="8. Purge_line" sheetId="16" r:id="rId3"/>
  </sheets>
  <definedNames>
    <definedName name="A" localSheetId="0">18</definedName>
    <definedName name="A" localSheetId="1">18</definedName>
    <definedName name="A" localSheetId="2">18</definedName>
    <definedName name="B" localSheetId="0">21</definedName>
    <definedName name="B" localSheetId="1">21</definedName>
    <definedName name="B" localSheetId="2">21</definedName>
    <definedName name="CP" localSheetId="0">14</definedName>
    <definedName name="CP" localSheetId="1">14</definedName>
    <definedName name="CP" localSheetId="2">14</definedName>
    <definedName name="CV" localSheetId="0">15</definedName>
    <definedName name="CV" localSheetId="1">15</definedName>
    <definedName name="CV" localSheetId="2">15</definedName>
    <definedName name="D" localSheetId="0">3</definedName>
    <definedName name="D" localSheetId="1">3</definedName>
    <definedName name="D" localSheetId="2">3</definedName>
    <definedName name="GA" localSheetId="0">19</definedName>
    <definedName name="GA" localSheetId="1">19</definedName>
    <definedName name="GA" localSheetId="2">19</definedName>
    <definedName name="H" localSheetId="0">5</definedName>
    <definedName name="H" localSheetId="1">5</definedName>
    <definedName name="H" localSheetId="2">5</definedName>
    <definedName name="K" localSheetId="0">17</definedName>
    <definedName name="K" localSheetId="1">17</definedName>
    <definedName name="K" localSheetId="2">17</definedName>
    <definedName name="KB" localSheetId="0">26</definedName>
    <definedName name="KB" localSheetId="1">26</definedName>
    <definedName name="KB" localSheetId="2">26</definedName>
    <definedName name="MU" localSheetId="0">16</definedName>
    <definedName name="MU" localSheetId="1">16</definedName>
    <definedName name="MU" localSheetId="2">16</definedName>
    <definedName name="MW" localSheetId="0">23</definedName>
    <definedName name="MW" localSheetId="1">23</definedName>
    <definedName name="MW" localSheetId="2">23</definedName>
    <definedName name="NU" localSheetId="0">27</definedName>
    <definedName name="NU" localSheetId="1">27</definedName>
    <definedName name="NU" localSheetId="2">27</definedName>
    <definedName name="P" localSheetId="0">1</definedName>
    <definedName name="P" localSheetId="1">1</definedName>
    <definedName name="P" localSheetId="2">1</definedName>
    <definedName name="PC" localSheetId="0">24</definedName>
    <definedName name="PC" localSheetId="1">24</definedName>
    <definedName name="PC" localSheetId="2">24</definedName>
    <definedName name="PH" localSheetId="0">11</definedName>
    <definedName name="PH" localSheetId="1">11</definedName>
    <definedName name="PH" localSheetId="2">11</definedName>
    <definedName name="PR" localSheetId="0">22</definedName>
    <definedName name="PR" localSheetId="1">22</definedName>
    <definedName name="PR" localSheetId="2">22</definedName>
    <definedName name="_xlnm.Print_Area" localSheetId="0">'6. Purge_Cyl'!$A$1:$V$96</definedName>
    <definedName name="_xlnm.Print_Area" localSheetId="1">'7. Purge_Man'!$A$1:$V$98</definedName>
    <definedName name="_xlnm.Print_Area" localSheetId="2">'8. Purge_line'!$A$1:$V$97</definedName>
    <definedName name="PSAT" localSheetId="0">12</definedName>
    <definedName name="PSAT" localSheetId="1">12</definedName>
    <definedName name="PSAT" localSheetId="2">12</definedName>
    <definedName name="S" localSheetId="0">7</definedName>
    <definedName name="S" localSheetId="1">7</definedName>
    <definedName name="S" localSheetId="2">7</definedName>
    <definedName name="ST" localSheetId="0">20</definedName>
    <definedName name="ST" localSheetId="1">20</definedName>
    <definedName name="ST" localSheetId="2">20</definedName>
    <definedName name="T" localSheetId="0">2</definedName>
    <definedName name="T" localSheetId="1">2</definedName>
    <definedName name="T" localSheetId="2">2</definedName>
    <definedName name="TC" localSheetId="0">25</definedName>
    <definedName name="TC" localSheetId="1">25</definedName>
    <definedName name="TC" localSheetId="2">25</definedName>
    <definedName name="TSAT" localSheetId="0">29</definedName>
    <definedName name="TSAT" localSheetId="1">29</definedName>
    <definedName name="TSAT" localSheetId="2">29</definedName>
    <definedName name="TSUP" localSheetId="0">28</definedName>
    <definedName name="TSUP" localSheetId="1">28</definedName>
    <definedName name="TSUP" localSheetId="2">28</definedName>
    <definedName name="U" localSheetId="0">6</definedName>
    <definedName name="U" localSheetId="1">6</definedName>
    <definedName name="U" localSheetId="2">6</definedName>
    <definedName name="V" localSheetId="0">4</definedName>
    <definedName name="V" localSheetId="1">4</definedName>
    <definedName name="V" localSheetId="2">4</definedName>
    <definedName name="X" localSheetId="0">8</definedName>
    <definedName name="X" localSheetId="1">8</definedName>
    <definedName name="X" localSheetId="2">8</definedName>
    <definedName name="Z" localSheetId="0">13</definedName>
    <definedName name="Z" localSheetId="1">13</definedName>
    <definedName name="Z" localSheetId="2">13</definedName>
  </definedNames>
  <calcPr calcId="162913"/>
</workbook>
</file>

<file path=xl/calcChain.xml><?xml version="1.0" encoding="utf-8"?>
<calcChain xmlns="http://schemas.openxmlformats.org/spreadsheetml/2006/main">
  <c r="H87" i="16" l="1"/>
  <c r="H88" i="16" s="1"/>
  <c r="H89" i="16" s="1"/>
  <c r="H90" i="16" s="1"/>
  <c r="H91" i="16" s="1"/>
  <c r="H92" i="16" s="1"/>
  <c r="H88" i="15"/>
  <c r="H89" i="15" s="1"/>
  <c r="H90" i="15" s="1"/>
  <c r="H91" i="15" s="1"/>
  <c r="H92" i="15" s="1"/>
  <c r="H93" i="15" s="1"/>
  <c r="H86" i="14"/>
  <c r="H87" i="14" s="1"/>
  <c r="H88" i="14" s="1"/>
  <c r="H89" i="14" s="1"/>
  <c r="H90" i="14" s="1"/>
  <c r="H91" i="14" s="1"/>
  <c r="AA84" i="16" l="1"/>
  <c r="Y84" i="16"/>
  <c r="W84" i="16"/>
  <c r="AA82" i="16"/>
  <c r="Y82" i="16"/>
  <c r="W82" i="16"/>
  <c r="AA73" i="16"/>
  <c r="Y73" i="16"/>
  <c r="W73" i="16"/>
  <c r="AA61" i="16"/>
  <c r="Y61" i="16"/>
  <c r="W61" i="16"/>
  <c r="AA97" i="16"/>
  <c r="Y97" i="16"/>
  <c r="W97" i="16"/>
  <c r="AA57" i="16"/>
  <c r="Y57" i="16"/>
  <c r="W57" i="16"/>
  <c r="AA49" i="16"/>
  <c r="Y49" i="16"/>
  <c r="W49" i="16"/>
  <c r="AA42" i="16"/>
  <c r="Y42" i="16"/>
  <c r="W42" i="16"/>
  <c r="AA33" i="16"/>
  <c r="Y33" i="16"/>
  <c r="W33" i="16"/>
  <c r="AA31" i="16"/>
  <c r="Y31" i="16"/>
  <c r="W31" i="16"/>
  <c r="AA29" i="16"/>
  <c r="Y29" i="16"/>
  <c r="W29" i="16"/>
  <c r="AA19" i="16"/>
  <c r="Y19" i="16"/>
  <c r="W19" i="16"/>
  <c r="AA14" i="16"/>
  <c r="Y14" i="16"/>
  <c r="W14" i="16"/>
  <c r="AA13" i="16"/>
  <c r="Y13" i="16"/>
  <c r="W13" i="16"/>
  <c r="AA12" i="16"/>
  <c r="Y12" i="16"/>
  <c r="W12" i="16"/>
  <c r="AA8" i="16"/>
  <c r="Y8" i="16"/>
  <c r="W8" i="16"/>
  <c r="W83" i="15"/>
  <c r="Y83" i="15"/>
  <c r="AA83" i="15"/>
  <c r="W85" i="15"/>
  <c r="Y85" i="15"/>
  <c r="AA85" i="15"/>
  <c r="W97" i="15"/>
  <c r="Y97" i="15"/>
  <c r="AA97" i="15"/>
  <c r="W98" i="15"/>
  <c r="W99" i="15" s="1"/>
  <c r="W101" i="15" s="1"/>
  <c r="Y98" i="15"/>
  <c r="AA98" i="15"/>
  <c r="AA99" i="15" s="1"/>
  <c r="AA74" i="15"/>
  <c r="Y74" i="15"/>
  <c r="W74" i="15"/>
  <c r="AA62" i="15"/>
  <c r="Y62" i="15"/>
  <c r="W62" i="15"/>
  <c r="AA57" i="15"/>
  <c r="Y57" i="15"/>
  <c r="W57" i="15"/>
  <c r="AA49" i="15"/>
  <c r="Y49" i="15"/>
  <c r="W49" i="15"/>
  <c r="AA42" i="15"/>
  <c r="Y42" i="15"/>
  <c r="W42" i="15"/>
  <c r="AA33" i="15"/>
  <c r="Y33" i="15"/>
  <c r="W33" i="15"/>
  <c r="AA31" i="15"/>
  <c r="Y31" i="15"/>
  <c r="W31" i="15"/>
  <c r="AA29" i="15"/>
  <c r="Y29" i="15"/>
  <c r="W29" i="15"/>
  <c r="AA19" i="15"/>
  <c r="Y19" i="15"/>
  <c r="W19" i="15"/>
  <c r="AA14" i="15"/>
  <c r="Y14" i="15"/>
  <c r="W14" i="15"/>
  <c r="AA13" i="15"/>
  <c r="Y13" i="15"/>
  <c r="W13" i="15"/>
  <c r="AA12" i="15"/>
  <c r="Y12" i="15"/>
  <c r="W12" i="15"/>
  <c r="AA8" i="15"/>
  <c r="Y8" i="15"/>
  <c r="W8" i="15"/>
  <c r="AA72" i="14"/>
  <c r="Y72" i="14"/>
  <c r="W72" i="14"/>
  <c r="AA56" i="14"/>
  <c r="Y56" i="14"/>
  <c r="W56" i="14"/>
  <c r="AA48" i="14"/>
  <c r="Y48" i="14"/>
  <c r="W48" i="14"/>
  <c r="AA40" i="14"/>
  <c r="Y40" i="14"/>
  <c r="W40" i="14"/>
  <c r="W98" i="16" l="1"/>
  <c r="W99" i="16" s="1"/>
  <c r="W101" i="16" s="1"/>
  <c r="Y98" i="16"/>
  <c r="Y99" i="16" s="1"/>
  <c r="Y101" i="16" s="1"/>
  <c r="AA98" i="16"/>
  <c r="AA99" i="16" s="1"/>
  <c r="AA101" i="16" s="1"/>
  <c r="AA101" i="15"/>
  <c r="AB99" i="15" s="1"/>
  <c r="AA102" i="15" s="1"/>
  <c r="AA103" i="15" s="1"/>
  <c r="Y99" i="15"/>
  <c r="Y101" i="15" s="1"/>
  <c r="X99" i="15"/>
  <c r="W102" i="15" s="1"/>
  <c r="W103" i="15" s="1"/>
  <c r="AA28" i="14"/>
  <c r="Y28" i="14"/>
  <c r="W28" i="14"/>
  <c r="H51" i="16"/>
  <c r="H52" i="16" s="1"/>
  <c r="H53" i="16" s="1"/>
  <c r="H54" i="16" s="1"/>
  <c r="H55" i="16" s="1"/>
  <c r="H56" i="16" s="1"/>
  <c r="H57" i="16" s="1"/>
  <c r="H15" i="16"/>
  <c r="H8" i="16"/>
  <c r="H30" i="15"/>
  <c r="H75" i="16"/>
  <c r="H76" i="16" s="1"/>
  <c r="H77" i="16" s="1"/>
  <c r="H78" i="16" s="1"/>
  <c r="H79" i="16" s="1"/>
  <c r="H80" i="16" s="1"/>
  <c r="H81" i="16" s="1"/>
  <c r="H82" i="16" s="1"/>
  <c r="H63" i="16"/>
  <c r="H64" i="16" s="1"/>
  <c r="H65" i="16" s="1"/>
  <c r="H66" i="16" s="1"/>
  <c r="H67" i="16" s="1"/>
  <c r="H68" i="16" s="1"/>
  <c r="H69" i="16" s="1"/>
  <c r="H70" i="16" s="1"/>
  <c r="H71" i="16" s="1"/>
  <c r="H72" i="16" s="1"/>
  <c r="H73" i="16" s="1"/>
  <c r="H76" i="15"/>
  <c r="H77" i="15" s="1"/>
  <c r="H78" i="15" s="1"/>
  <c r="H79" i="15" s="1"/>
  <c r="H80" i="15" s="1"/>
  <c r="H81" i="15" s="1"/>
  <c r="H82" i="15" s="1"/>
  <c r="H83" i="15" s="1"/>
  <c r="H64" i="15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8" i="14"/>
  <c r="AA19" i="14"/>
  <c r="Y19" i="14"/>
  <c r="W19" i="14"/>
  <c r="H15" i="14"/>
  <c r="H16" i="14" s="1"/>
  <c r="H17" i="14" s="1"/>
  <c r="H18" i="14" s="1"/>
  <c r="H19" i="14" s="1"/>
  <c r="H15" i="15"/>
  <c r="H16" i="15" s="1"/>
  <c r="H17" i="15" s="1"/>
  <c r="H18" i="15" s="1"/>
  <c r="H19" i="15" s="1"/>
  <c r="W12" i="14"/>
  <c r="W13" i="14"/>
  <c r="H47" i="16"/>
  <c r="H48" i="16" s="1"/>
  <c r="H49" i="16" s="1"/>
  <c r="AB99" i="16" l="1"/>
  <c r="AA102" i="16" s="1"/>
  <c r="AA103" i="16" s="1"/>
  <c r="Z99" i="16"/>
  <c r="Y102" i="16" s="1"/>
  <c r="Y103" i="16" s="1"/>
  <c r="X99" i="16"/>
  <c r="W102" i="16" s="1"/>
  <c r="W103" i="16" s="1"/>
  <c r="Z99" i="15"/>
  <c r="Y102" i="15" s="1"/>
  <c r="Y103" i="15" s="1"/>
  <c r="H47" i="15"/>
  <c r="H48" i="15" s="1"/>
  <c r="H49" i="15" s="1"/>
  <c r="H62" i="14" l="1"/>
  <c r="H63" i="14" s="1"/>
  <c r="H64" i="14" s="1"/>
  <c r="H65" i="14" s="1"/>
  <c r="H66" i="14" s="1"/>
  <c r="H67" i="14" s="1"/>
  <c r="H68" i="14" s="1"/>
  <c r="H69" i="14" s="1"/>
  <c r="H70" i="14" s="1"/>
  <c r="H71" i="14" s="1"/>
  <c r="H72" i="14" s="1"/>
  <c r="H16" i="16"/>
  <c r="H17" i="16" s="1"/>
  <c r="H18" i="16" s="1"/>
  <c r="H19" i="16" s="1"/>
  <c r="H58" i="16" l="1"/>
  <c r="H59" i="16" s="1"/>
  <c r="H60" i="16" s="1"/>
  <c r="H61" i="16" s="1"/>
  <c r="H45" i="16"/>
  <c r="H34" i="16"/>
  <c r="H35" i="16" s="1"/>
  <c r="H36" i="16" s="1"/>
  <c r="H37" i="16" s="1"/>
  <c r="H38" i="16" s="1"/>
  <c r="H30" i="16"/>
  <c r="H31" i="16" s="1"/>
  <c r="H22" i="16"/>
  <c r="H23" i="16" s="1"/>
  <c r="H24" i="16" s="1"/>
  <c r="H25" i="16" s="1"/>
  <c r="H26" i="16" s="1"/>
  <c r="H27" i="16" s="1"/>
  <c r="H28" i="16" s="1"/>
  <c r="H29" i="16" s="1"/>
  <c r="H9" i="16"/>
  <c r="H10" i="16" s="1"/>
  <c r="H11" i="16" s="1"/>
  <c r="H12" i="16" s="1"/>
  <c r="H13" i="16" s="1"/>
  <c r="H14" i="16" s="1"/>
  <c r="H60" i="15"/>
  <c r="H61" i="15" s="1"/>
  <c r="H62" i="15" s="1"/>
  <c r="H51" i="15"/>
  <c r="H52" i="15" s="1"/>
  <c r="H53" i="15" s="1"/>
  <c r="H54" i="15" s="1"/>
  <c r="H55" i="15" s="1"/>
  <c r="H56" i="15" s="1"/>
  <c r="H57" i="15" s="1"/>
  <c r="H45" i="15"/>
  <c r="H34" i="15"/>
  <c r="H35" i="15" s="1"/>
  <c r="H36" i="15" s="1"/>
  <c r="H37" i="15" s="1"/>
  <c r="H38" i="15" s="1"/>
  <c r="H39" i="15" s="1"/>
  <c r="H40" i="15" s="1"/>
  <c r="H41" i="15" s="1"/>
  <c r="H42" i="15" s="1"/>
  <c r="H43" i="15" s="1"/>
  <c r="H31" i="15"/>
  <c r="H22" i="15"/>
  <c r="H23" i="15" s="1"/>
  <c r="H24" i="15" s="1"/>
  <c r="H25" i="15" s="1"/>
  <c r="H26" i="15" s="1"/>
  <c r="H27" i="15" s="1"/>
  <c r="H28" i="15" s="1"/>
  <c r="H29" i="15" s="1"/>
  <c r="H9" i="15"/>
  <c r="H10" i="15" s="1"/>
  <c r="H11" i="15" s="1"/>
  <c r="H12" i="15" s="1"/>
  <c r="H13" i="15" s="1"/>
  <c r="H14" i="15" s="1"/>
  <c r="AA95" i="14"/>
  <c r="Y95" i="14"/>
  <c r="W95" i="14"/>
  <c r="AA83" i="14"/>
  <c r="Y83" i="14"/>
  <c r="W83" i="14"/>
  <c r="AA81" i="14"/>
  <c r="Y81" i="14"/>
  <c r="W81" i="14"/>
  <c r="H74" i="14"/>
  <c r="H75" i="14" s="1"/>
  <c r="H76" i="14" s="1"/>
  <c r="H77" i="14" s="1"/>
  <c r="H78" i="14" s="1"/>
  <c r="H79" i="14" s="1"/>
  <c r="H80" i="14" s="1"/>
  <c r="H81" i="14" s="1"/>
  <c r="AA60" i="14"/>
  <c r="Y60" i="14"/>
  <c r="W60" i="14"/>
  <c r="H58" i="14"/>
  <c r="H59" i="14" s="1"/>
  <c r="H60" i="14" s="1"/>
  <c r="H45" i="14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H56" i="14" s="1"/>
  <c r="AA43" i="14"/>
  <c r="Y43" i="14"/>
  <c r="W43" i="14"/>
  <c r="H43" i="14"/>
  <c r="H32" i="14"/>
  <c r="H33" i="14" s="1"/>
  <c r="H34" i="14" s="1"/>
  <c r="H35" i="14" s="1"/>
  <c r="H36" i="14" s="1"/>
  <c r="H37" i="14" s="1"/>
  <c r="H38" i="14" s="1"/>
  <c r="H39" i="14" s="1"/>
  <c r="H40" i="14" s="1"/>
  <c r="H41" i="14" s="1"/>
  <c r="AA31" i="14"/>
  <c r="Y31" i="14"/>
  <c r="W31" i="14"/>
  <c r="H31" i="14"/>
  <c r="H21" i="14"/>
  <c r="H22" i="14" s="1"/>
  <c r="H23" i="14" s="1"/>
  <c r="H24" i="14" s="1"/>
  <c r="H25" i="14" s="1"/>
  <c r="H26" i="14" s="1"/>
  <c r="H27" i="14" s="1"/>
  <c r="H28" i="14" s="1"/>
  <c r="AA14" i="14"/>
  <c r="Y14" i="14"/>
  <c r="W14" i="14"/>
  <c r="AA13" i="14"/>
  <c r="Y13" i="14"/>
  <c r="AA12" i="14"/>
  <c r="Y12" i="14"/>
  <c r="H9" i="14"/>
  <c r="H10" i="14" s="1"/>
  <c r="H11" i="14" s="1"/>
  <c r="H12" i="14" s="1"/>
  <c r="H13" i="14" s="1"/>
  <c r="H14" i="14" s="1"/>
  <c r="AA8" i="14"/>
  <c r="Y8" i="14"/>
  <c r="W8" i="14"/>
  <c r="H39" i="16" l="1"/>
  <c r="H41" i="16" s="1"/>
  <c r="H42" i="16" s="1"/>
  <c r="H43" i="16" s="1"/>
  <c r="H40" i="16"/>
  <c r="Y96" i="14"/>
  <c r="Y97" i="14" s="1"/>
  <c r="Y99" i="14" s="1"/>
  <c r="Z97" i="14" s="1"/>
  <c r="Y100" i="14" s="1"/>
  <c r="W96" i="14"/>
  <c r="W97" i="14" s="1"/>
  <c r="W99" i="14" s="1"/>
  <c r="AA96" i="14"/>
  <c r="X97" i="14" l="1"/>
  <c r="W100" i="14" s="1"/>
  <c r="Y101" i="14"/>
  <c r="AA97" i="14"/>
  <c r="AA99" i="14" s="1"/>
  <c r="AB97" i="14" s="1"/>
  <c r="AA100" i="14" s="1"/>
  <c r="AA101" i="14" s="1"/>
  <c r="W101" i="14" l="1"/>
</calcChain>
</file>

<file path=xl/sharedStrings.xml><?xml version="1.0" encoding="utf-8"?>
<sst xmlns="http://schemas.openxmlformats.org/spreadsheetml/2006/main" count="2010" uniqueCount="195">
  <si>
    <t>-</t>
  </si>
  <si>
    <t>A</t>
  </si>
  <si>
    <t>B</t>
  </si>
  <si>
    <t>SPT</t>
  </si>
  <si>
    <t>DPT</t>
  </si>
  <si>
    <t>G/C Valve System</t>
  </si>
  <si>
    <t>H</t>
  </si>
  <si>
    <t>L</t>
  </si>
  <si>
    <t>P</t>
  </si>
  <si>
    <t>V</t>
  </si>
  <si>
    <t>Acc,</t>
  </si>
  <si>
    <t>C</t>
  </si>
  <si>
    <t>G</t>
  </si>
  <si>
    <t>S</t>
  </si>
  <si>
    <t>Alarm</t>
  </si>
  <si>
    <t>Ack</t>
  </si>
  <si>
    <t>Time</t>
  </si>
  <si>
    <t>O</t>
  </si>
  <si>
    <t>I</t>
  </si>
  <si>
    <t>S/No.</t>
  </si>
  <si>
    <t>Operations</t>
  </si>
  <si>
    <t>Cycle</t>
  </si>
  <si>
    <t>Goto</t>
  </si>
  <si>
    <t>Message at Controller</t>
  </si>
  <si>
    <t>(Sec)</t>
  </si>
  <si>
    <t>Monitoring</t>
  </si>
  <si>
    <t>Remarks</t>
  </si>
  <si>
    <t>Alarm Message</t>
  </si>
  <si>
    <t>Cylinder Shutoff</t>
  </si>
  <si>
    <t>HLT</t>
  </si>
  <si>
    <t>Touch Key : Ack</t>
  </si>
  <si>
    <t>Process Gas Removal</t>
  </si>
  <si>
    <t>Process Gas Removal, Wait…</t>
  </si>
  <si>
    <t>VPS</t>
  </si>
  <si>
    <t>High Vent Check</t>
  </si>
  <si>
    <t>"Shutdown, High Vent Pressure"</t>
  </si>
  <si>
    <t>Cylinder Shutoff Test</t>
  </si>
  <si>
    <r>
      <t>S</t>
    </r>
    <r>
      <rPr>
        <b/>
        <sz val="10"/>
        <rFont val="Arial"/>
        <family val="2"/>
      </rPr>
      <t>eq.</t>
    </r>
  </si>
  <si>
    <t>"'Shutdown, High Vent Pressure"</t>
  </si>
  <si>
    <t>Open Regulator</t>
  </si>
  <si>
    <t>Prepurge</t>
  </si>
  <si>
    <t>Prepurge, Wait…</t>
  </si>
  <si>
    <t>"Shutdwon, High Vent Pressure"</t>
  </si>
  <si>
    <t>D</t>
  </si>
  <si>
    <t>Manifold Purge Entry</t>
  </si>
  <si>
    <t>Manifold purge Entry, Wait…</t>
  </si>
  <si>
    <t>Auto Leak Check</t>
  </si>
  <si>
    <t>Cylinder Connector Leak Test</t>
  </si>
  <si>
    <t>Manifold Purge; Venting</t>
  </si>
  <si>
    <t>Perform Maintenance</t>
  </si>
  <si>
    <t>Manifold Connector Leak Test</t>
  </si>
  <si>
    <t>Manual Leak Check</t>
  </si>
  <si>
    <t>Manual Cyl. Conn. Test Completed</t>
  </si>
  <si>
    <t>Post-Purge</t>
  </si>
  <si>
    <t>Postpurge, Wait</t>
  </si>
  <si>
    <r>
      <t>S</t>
    </r>
    <r>
      <rPr>
        <b/>
        <sz val="10"/>
        <rFont val="Arial"/>
        <family val="2"/>
      </rPr>
      <t>eq.</t>
    </r>
  </si>
  <si>
    <t>Manual Manifold Conn. Test; Press ACK</t>
  </si>
  <si>
    <t>Manual Leak Check Completed.</t>
  </si>
  <si>
    <t>Post Purge Venting</t>
  </si>
  <si>
    <t xml:space="preserve">High Vent Check </t>
  </si>
  <si>
    <t>Post Purge Venting Completed</t>
  </si>
  <si>
    <t>System will HLT for 3 minutes,</t>
  </si>
  <si>
    <t>Regulator Shutoff Test</t>
  </si>
  <si>
    <t>Post Purge Entry, Wait…</t>
  </si>
  <si>
    <t>If ACK is pressed within 3 minutes,</t>
  </si>
  <si>
    <t>Cylinder Shutoff Test, Wait…</t>
  </si>
  <si>
    <t>HP, LP side Evacuation</t>
  </si>
  <si>
    <t>To Remove Purge Gas, Press ACK</t>
  </si>
  <si>
    <t>Touch Key : ACK</t>
  </si>
  <si>
    <t>Purge Gas removal, Wait…</t>
  </si>
  <si>
    <t>Line Purge Entry</t>
  </si>
  <si>
    <t>Line Purge Entry, Wait</t>
  </si>
  <si>
    <t>Cylinder Open</t>
  </si>
  <si>
    <t>Cylinder Pressure Test</t>
  </si>
  <si>
    <t>"Shutdown, Cyl Pressure Test Fail"</t>
  </si>
  <si>
    <t>Regulator Adjustment</t>
  </si>
  <si>
    <t>Ready for Service/Standby</t>
  </si>
  <si>
    <t>Ready for Service/Standby; Press ACK</t>
  </si>
  <si>
    <t>Confirm Service, Press ACK</t>
  </si>
  <si>
    <t>HLT = System halt, waiting for operator's ACK</t>
  </si>
  <si>
    <r>
      <t>s</t>
    </r>
    <r>
      <rPr>
        <sz val="11"/>
        <color rgb="FF000000"/>
        <rFont val="맑은 고딕"/>
        <family val="3"/>
        <charset val="129"/>
      </rPr>
      <t>ec</t>
    </r>
  </si>
  <si>
    <t>Line Purge; Venting</t>
  </si>
  <si>
    <r>
      <t>h</t>
    </r>
    <r>
      <rPr>
        <sz val="11"/>
        <color rgb="FF000000"/>
        <rFont val="맑은 고딕"/>
        <family val="3"/>
        <charset val="129"/>
      </rPr>
      <t>our</t>
    </r>
  </si>
  <si>
    <r>
      <t>m</t>
    </r>
    <r>
      <rPr>
        <sz val="11"/>
        <color rgb="FF000000"/>
        <rFont val="맑은 고딕"/>
        <family val="3"/>
        <charset val="129"/>
      </rPr>
      <t>in</t>
    </r>
  </si>
  <si>
    <t>Line Maintenance</t>
  </si>
  <si>
    <r>
      <t>s</t>
    </r>
    <r>
      <rPr>
        <sz val="11"/>
        <color rgb="FF000000"/>
        <rFont val="맑은 고딕"/>
        <family val="3"/>
        <charset val="129"/>
      </rPr>
      <t>ec</t>
    </r>
  </si>
  <si>
    <t>Line Connector Leak Test</t>
  </si>
  <si>
    <t>Manual Line Conn.Test; Press Ack</t>
  </si>
  <si>
    <t>Open Reglator</t>
    <phoneticPr fontId="5" type="noConversion"/>
  </si>
  <si>
    <t>C</t>
    <phoneticPr fontId="5" type="noConversion"/>
  </si>
  <si>
    <t>O</t>
    <phoneticPr fontId="5" type="noConversion"/>
  </si>
  <si>
    <r>
      <t>If SPT</t>
    </r>
    <r>
      <rPr>
        <sz val="10"/>
        <color rgb="FF000000"/>
        <rFont val="Arial"/>
        <family val="2"/>
      </rPr>
      <t>&lt;</t>
    </r>
    <r>
      <rPr>
        <sz val="10"/>
        <rFont val="Arial"/>
        <family val="2"/>
      </rPr>
      <t>=</t>
    </r>
    <r>
      <rPr>
        <sz val="10"/>
        <color rgb="FF000000"/>
        <rFont val="Arial"/>
        <family val="2"/>
      </rPr>
      <t>Vacuum Limits</t>
    </r>
    <r>
      <rPr>
        <sz val="10"/>
        <rFont val="Arial"/>
        <family val="2"/>
      </rPr>
      <t>, test pass, else purge shutdown</t>
    </r>
  </si>
  <si>
    <t>V</t>
    <phoneticPr fontId="5" type="noConversion"/>
  </si>
  <si>
    <t>A</t>
    <phoneticPr fontId="5" type="noConversion"/>
  </si>
  <si>
    <t>High Vent Check</t>
    <phoneticPr fontId="5" type="noConversion"/>
  </si>
  <si>
    <t>C</t>
    <phoneticPr fontId="5" type="noConversion"/>
  </si>
  <si>
    <t>Low Side Venting...Wait…(Option)</t>
    <phoneticPr fontId="5" type="noConversion"/>
  </si>
  <si>
    <t>Before Postpurge.</t>
    <phoneticPr fontId="5" type="noConversion"/>
  </si>
  <si>
    <t>C</t>
    <phoneticPr fontId="5" type="noConversion"/>
  </si>
  <si>
    <t>C</t>
    <phoneticPr fontId="5" type="noConversion"/>
  </si>
  <si>
    <r>
      <t>1</t>
    </r>
    <r>
      <rPr>
        <sz val="10"/>
        <color rgb="FF000000"/>
        <rFont val="Arial"/>
        <family val="2"/>
      </rPr>
      <t>0-60</t>
    </r>
  </si>
  <si>
    <r>
      <t>If SPT</t>
    </r>
    <r>
      <rPr>
        <sz val="10"/>
        <color rgb="FF000000"/>
        <rFont val="Arial"/>
        <family val="2"/>
      </rPr>
      <t xml:space="preserve"> &lt;</t>
    </r>
    <r>
      <rPr>
        <sz val="10"/>
        <rFont val="Arial"/>
        <family val="2"/>
      </rPr>
      <t>=</t>
    </r>
    <r>
      <rPr>
        <sz val="10"/>
        <color rgb="FF000000"/>
        <rFont val="Arial"/>
        <family val="2"/>
      </rPr>
      <t>Vacuum Limits</t>
    </r>
    <r>
      <rPr>
        <sz val="10"/>
        <rFont val="Arial"/>
        <family val="2"/>
      </rPr>
      <t>, test pass, else purge shutdown</t>
    </r>
  </si>
  <si>
    <r>
      <t>Post Purge</t>
    </r>
    <r>
      <rPr>
        <sz val="10"/>
        <color rgb="FF000000"/>
        <rFont val="Arial"/>
        <family val="2"/>
      </rPr>
      <t xml:space="preserve"> venting</t>
    </r>
  </si>
  <si>
    <r>
      <t>If DPT&lt;</t>
    </r>
    <r>
      <rPr>
        <sz val="10"/>
        <color rgb="FF000000"/>
        <rFont val="Arial"/>
        <family val="2"/>
      </rPr>
      <t>=</t>
    </r>
    <r>
      <rPr>
        <sz val="10"/>
        <rFont val="Arial"/>
        <family val="2"/>
      </rPr>
      <t xml:space="preserve"> 2psig, test pass, else purge shutdown</t>
    </r>
    <phoneticPr fontId="5" type="noConversion"/>
  </si>
  <si>
    <r>
      <t>S</t>
    </r>
    <r>
      <rPr>
        <sz val="10"/>
        <color rgb="FF000000"/>
        <rFont val="Arial"/>
        <family val="2"/>
      </rPr>
      <t>ervice</t>
    </r>
  </si>
  <si>
    <r>
      <t>G</t>
    </r>
    <r>
      <rPr>
        <sz val="10"/>
        <color rgb="FF000000"/>
        <rFont val="Arial"/>
        <family val="2"/>
      </rPr>
      <t>o Back to Main menu, Press Cancel</t>
    </r>
  </si>
  <si>
    <r>
      <t>Manifold Maintenance Purge Sequence</t>
    </r>
    <r>
      <rPr>
        <b/>
        <sz val="10"/>
        <rFont val="Arial"/>
        <family val="2"/>
      </rPr>
      <t xml:space="preserve"> </t>
    </r>
    <phoneticPr fontId="5" type="noConversion"/>
  </si>
  <si>
    <t>Line Maintenance Purge Sequence</t>
    <phoneticPr fontId="5" type="noConversion"/>
  </si>
  <si>
    <t>Seq.</t>
  </si>
  <si>
    <r>
      <t>Touch Key:</t>
    </r>
    <r>
      <rPr>
        <sz val="10"/>
        <color rgb="FF000000"/>
        <rFont val="Arial"/>
        <family val="2"/>
      </rPr>
      <t xml:space="preserve"> </t>
    </r>
    <r>
      <rPr>
        <sz val="10"/>
        <rFont val="Arial"/>
        <family val="2"/>
      </rPr>
      <t>Ack</t>
    </r>
  </si>
  <si>
    <r>
      <t>If SPT&amp;DPT</t>
    </r>
    <r>
      <rPr>
        <sz val="10"/>
        <color rgb="FF000000"/>
        <rFont val="Arial"/>
        <family val="2"/>
      </rPr>
      <t>&lt;</t>
    </r>
    <r>
      <rPr>
        <sz val="10"/>
        <rFont val="Arial"/>
        <family val="2"/>
      </rPr>
      <t>=</t>
    </r>
    <r>
      <rPr>
        <sz val="10"/>
        <color rgb="FF000000"/>
        <rFont val="Arial"/>
        <family val="2"/>
      </rPr>
      <t>Vacuum Limits</t>
    </r>
    <r>
      <rPr>
        <sz val="10"/>
        <rFont val="Arial"/>
        <family val="2"/>
      </rPr>
      <t>, test pass, else purge shutdown</t>
    </r>
    <phoneticPr fontId="5" type="noConversion"/>
  </si>
  <si>
    <r>
      <t>If SPT</t>
    </r>
    <r>
      <rPr>
        <sz val="10"/>
        <color rgb="FF000000"/>
        <rFont val="Arial"/>
        <family val="2"/>
      </rPr>
      <t>&lt;</t>
    </r>
    <r>
      <rPr>
        <sz val="10"/>
        <rFont val="Arial"/>
        <family val="2"/>
      </rPr>
      <t>=</t>
    </r>
    <r>
      <rPr>
        <sz val="10"/>
        <color rgb="FF000000"/>
        <rFont val="Arial"/>
        <family val="2"/>
      </rPr>
      <t>Vacuum Limits</t>
    </r>
    <r>
      <rPr>
        <sz val="10"/>
        <rFont val="Arial"/>
        <family val="2"/>
      </rPr>
      <t>, test pass, else purge shutdown</t>
    </r>
    <phoneticPr fontId="5" type="noConversion"/>
  </si>
  <si>
    <t>Close MLPI Valve , Then Press ACK</t>
  </si>
  <si>
    <t>Adjust Reg. (CW); Then press ACK</t>
  </si>
  <si>
    <t>Close MLPI valve</t>
  </si>
  <si>
    <t>Open MLPI Valve</t>
  </si>
  <si>
    <t>Open MLPI valve</t>
  </si>
  <si>
    <t>Open MLPI valve; Then Press ACK</t>
  </si>
  <si>
    <t>PPS &amp; SPT</t>
    <phoneticPr fontId="5" type="noConversion"/>
  </si>
  <si>
    <t>If PPS detected or SPT &lt; Low Purge Pressure, Purge shutdown</t>
    <phoneticPr fontId="5" type="noConversion"/>
  </si>
  <si>
    <t>"Shutdown, Low Purge Pressure"</t>
  </si>
  <si>
    <t>"Shutdown, Low Leak Check Pressure"</t>
  </si>
  <si>
    <t>"Shutdown, High Manifold Pressure"</t>
  </si>
  <si>
    <t>"Shutdown, Auto Leak Check Failure"</t>
    <phoneticPr fontId="5" type="noConversion"/>
  </si>
  <si>
    <t>If SPT &lt; L/C Pressure S/P, Purge shutdown</t>
    <phoneticPr fontId="5" type="noConversion"/>
  </si>
  <si>
    <r>
      <t xml:space="preserve">If </t>
    </r>
    <r>
      <rPr>
        <sz val="10"/>
        <rFont val="돋움"/>
        <family val="3"/>
        <charset val="129"/>
      </rPr>
      <t>Δ</t>
    </r>
    <r>
      <rPr>
        <sz val="10"/>
        <rFont val="Arial"/>
        <family val="2"/>
      </rPr>
      <t>SPT &gt; LEAK CHECK TOL', Purge Shutdown</t>
    </r>
    <phoneticPr fontId="5" type="noConversion"/>
  </si>
  <si>
    <t>(*Stabilizing Time)</t>
    <phoneticPr fontId="5" type="noConversion"/>
  </si>
  <si>
    <t>(*User Config set - Leak Check Time)</t>
    <phoneticPr fontId="5" type="noConversion"/>
  </si>
  <si>
    <t>Manual Cyl. Conn. Test; Press Ack</t>
    <phoneticPr fontId="5" type="noConversion"/>
  </si>
  <si>
    <t>-</t>
    <phoneticPr fontId="5" type="noConversion"/>
  </si>
  <si>
    <t>Reg. Shutoff, Close (CCW) Then Press ACK</t>
    <phoneticPr fontId="5" type="noConversion"/>
  </si>
  <si>
    <t>SPT &amp; DPT</t>
    <phoneticPr fontId="5" type="noConversion"/>
  </si>
  <si>
    <t>"Shutdown, Regulator Shutoff Test Failure"</t>
    <phoneticPr fontId="5" type="noConversion"/>
  </si>
  <si>
    <t>Reg. Shutoff Test; Wait</t>
    <phoneticPr fontId="5" type="noConversion"/>
  </si>
  <si>
    <t>Reg. Shutoff Test; Completed</t>
    <phoneticPr fontId="5" type="noConversion"/>
  </si>
  <si>
    <t>DPT</t>
    <phoneticPr fontId="5" type="noConversion"/>
  </si>
  <si>
    <t>If DPT &lt;= 0 Psi, test pass, else purge shutdown</t>
    <phoneticPr fontId="5" type="noConversion"/>
  </si>
  <si>
    <t>SPT</t>
    <phoneticPr fontId="5" type="noConversion"/>
  </si>
  <si>
    <t>If SPT &lt;= 0 Psi, test pass, else purge shutdown</t>
    <phoneticPr fontId="5" type="noConversion"/>
  </si>
  <si>
    <t>Unlock ACV; Press ACK</t>
    <phoneticPr fontId="5" type="noConversion"/>
  </si>
  <si>
    <r>
      <t xml:space="preserve">If SPT&gt;= </t>
    </r>
    <r>
      <rPr>
        <sz val="10"/>
        <color rgb="FF000000"/>
        <rFont val="Arial"/>
        <family val="2"/>
      </rPr>
      <t>low SPT</t>
    </r>
    <r>
      <rPr>
        <sz val="10"/>
        <rFont val="Arial"/>
        <family val="2"/>
      </rPr>
      <t xml:space="preserve"> ; test pass, else shutdown</t>
    </r>
    <phoneticPr fontId="5" type="noConversion"/>
  </si>
  <si>
    <t>Touch Key : Ack, If SPT&gt;= low SPT ; test pass, else shutdown</t>
    <phoneticPr fontId="5" type="noConversion"/>
  </si>
  <si>
    <t>ACV Closed, Press ACK.</t>
    <phoneticPr fontId="5" type="noConversion"/>
  </si>
  <si>
    <t>Post Purge Venting</t>
    <phoneticPr fontId="5" type="noConversion"/>
  </si>
  <si>
    <t>Close MLPI Valve; Then Press ACK</t>
    <phoneticPr fontId="5" type="noConversion"/>
  </si>
  <si>
    <t>Open Reg.(CW), Then Press ACK</t>
    <phoneticPr fontId="5" type="noConversion"/>
  </si>
  <si>
    <t>"Shutdwon, High Vent Pressure"</t>
    <phoneticPr fontId="5" type="noConversion"/>
  </si>
  <si>
    <t>Maintenance completed, Press ACK</t>
    <phoneticPr fontId="5" type="noConversion"/>
  </si>
  <si>
    <t>Manifold Purge Venting</t>
    <phoneticPr fontId="5" type="noConversion"/>
  </si>
  <si>
    <t>O</t>
    <phoneticPr fontId="5" type="noConversion"/>
  </si>
  <si>
    <t>If no ACK, start Post Purge.</t>
    <phoneticPr fontId="5" type="noConversion"/>
  </si>
  <si>
    <t>Post Purge will be skip to step13</t>
    <phoneticPr fontId="5" type="noConversion"/>
  </si>
  <si>
    <t>To skip post-purge, press Ack; Else wait</t>
    <phoneticPr fontId="5" type="noConversion"/>
  </si>
  <si>
    <t>Postpurge</t>
    <phoneticPr fontId="5" type="noConversion"/>
  </si>
  <si>
    <t>Open MLPI Valve, Then Press ACK</t>
    <phoneticPr fontId="5" type="noConversion"/>
  </si>
  <si>
    <r>
      <t>If SPT&amp; DPT</t>
    </r>
    <r>
      <rPr>
        <sz val="10"/>
        <color rgb="FF000000"/>
        <rFont val="Arial"/>
        <family val="2"/>
      </rPr>
      <t>&lt;</t>
    </r>
    <r>
      <rPr>
        <sz val="10"/>
        <rFont val="Arial"/>
        <family val="2"/>
      </rPr>
      <t xml:space="preserve">= </t>
    </r>
    <r>
      <rPr>
        <sz val="10"/>
        <color rgb="FF000000"/>
        <rFont val="Arial"/>
        <family val="2"/>
      </rPr>
      <t>0 Psig</t>
    </r>
    <r>
      <rPr>
        <sz val="10"/>
        <rFont val="Arial"/>
        <family val="2"/>
      </rPr>
      <t>, test pass, else purge shutdown</t>
    </r>
    <phoneticPr fontId="5" type="noConversion"/>
  </si>
  <si>
    <t>If DPT &lt;= 0 Psig, test pass, else purge shutdown</t>
    <phoneticPr fontId="5" type="noConversion"/>
  </si>
  <si>
    <t>If SPT &lt;= 0 Psig, test pass, else purge shutdown</t>
    <phoneticPr fontId="5" type="noConversion"/>
  </si>
  <si>
    <t>CCW Reg. Then Touch Key : Ack</t>
    <phoneticPr fontId="5" type="noConversion"/>
  </si>
  <si>
    <t>Open MLPI Valve, Then Press ACK</t>
    <phoneticPr fontId="5" type="noConversion"/>
  </si>
  <si>
    <t>Open Reg.(CW), Then Press ACK</t>
    <phoneticPr fontId="5" type="noConversion"/>
  </si>
  <si>
    <t>-</t>
    <phoneticPr fontId="5" type="noConversion"/>
  </si>
  <si>
    <t>Line Purge Venting</t>
    <phoneticPr fontId="5" type="noConversion"/>
  </si>
  <si>
    <t>Line Maintenance Completed; Press ACK</t>
    <phoneticPr fontId="5" type="noConversion"/>
  </si>
  <si>
    <t>Touch Key : Ack</t>
    <phoneticPr fontId="5" type="noConversion"/>
  </si>
  <si>
    <r>
      <t>Message will change --</t>
    </r>
    <r>
      <rPr>
        <sz val="10"/>
        <color rgb="FF000000"/>
        <rFont val="Arial"/>
        <family val="2"/>
      </rPr>
      <t>-------------------------------</t>
    </r>
    <r>
      <rPr>
        <sz val="10"/>
        <rFont val="Arial"/>
        <family val="2"/>
      </rPr>
      <t xml:space="preserve">-&gt; </t>
    </r>
    <phoneticPr fontId="5" type="noConversion"/>
  </si>
  <si>
    <t>To skip post-purge, Press Ack; Else wait</t>
    <phoneticPr fontId="5" type="noConversion"/>
  </si>
  <si>
    <r>
      <rPr>
        <sz val="11"/>
        <color rgb="FF000000"/>
        <rFont val="Arial"/>
        <family val="2"/>
      </rPr>
      <t>S</t>
    </r>
    <r>
      <rPr>
        <sz val="11"/>
        <color rgb="FF000000"/>
        <rFont val="맑은 고딕"/>
        <family val="3"/>
        <charset val="129"/>
      </rPr>
      <t>ec</t>
    </r>
    <phoneticPr fontId="5" type="noConversion"/>
  </si>
  <si>
    <t>Hour</t>
    <phoneticPr fontId="5" type="noConversion"/>
  </si>
  <si>
    <t>Min</t>
    <phoneticPr fontId="5" type="noConversion"/>
  </si>
  <si>
    <t>Sec</t>
    <phoneticPr fontId="5" type="noConversion"/>
  </si>
  <si>
    <t>1-60</t>
    <phoneticPr fontId="5" type="noConversion"/>
  </si>
  <si>
    <t>Close Cylinder Valve, Press ACK</t>
    <phoneticPr fontId="5" type="noConversion"/>
  </si>
  <si>
    <t>HLT</t>
    <phoneticPr fontId="5" type="noConversion"/>
  </si>
  <si>
    <t>Live Gas Flushing Wait…</t>
    <phoneticPr fontId="5" type="noConversion"/>
  </si>
  <si>
    <t>Open Cylinder Valve, Press ACK</t>
    <phoneticPr fontId="5" type="noConversion"/>
  </si>
  <si>
    <t>"Shutdown, Cylinder Valve not closed"</t>
  </si>
  <si>
    <t>If Repeat Limit Time &lt;= Run time, Shutdown</t>
    <phoneticPr fontId="5" type="noConversion"/>
  </si>
  <si>
    <t>Live Gas Flushing</t>
    <phoneticPr fontId="5" type="noConversion"/>
  </si>
  <si>
    <t>(Optionable)</t>
    <phoneticPr fontId="5" type="noConversion"/>
  </si>
  <si>
    <t>-</t>
    <phoneticPr fontId="5" type="noConversion"/>
  </si>
  <si>
    <t>Open PGI Valve, When PGV Valve Option is used</t>
    <phoneticPr fontId="5" type="noConversion"/>
  </si>
  <si>
    <t>Cylinder Change</t>
    <phoneticPr fontId="5" type="noConversion"/>
  </si>
  <si>
    <t>Change Cylinder; Then press ACK</t>
    <phoneticPr fontId="5" type="noConversion"/>
  </si>
  <si>
    <t>Manual Leak Check Completed.</t>
    <phoneticPr fontId="5" type="noConversion"/>
  </si>
  <si>
    <t>Change Cylinder; Completed</t>
    <phoneticPr fontId="5" type="noConversion"/>
  </si>
  <si>
    <t>C</t>
    <phoneticPr fontId="5" type="noConversion"/>
  </si>
  <si>
    <t>If Barcode Option Use : PGI, PGV Valve Not Close</t>
    <phoneticPr fontId="5" type="noConversion"/>
  </si>
  <si>
    <t>6-1</t>
  </si>
  <si>
    <t>Cylinder Change</t>
  </si>
  <si>
    <t>6-2</t>
  </si>
  <si>
    <t>Cylinder Change
(Barcode Option Use)</t>
    <phoneticPr fontId="5" type="noConversion"/>
  </si>
  <si>
    <t>Change Cylinder; And Scan Cylinder Barcode</t>
    <phoneticPr fontId="5" type="noConversion"/>
  </si>
  <si>
    <t>Proceed with sequence if cylinder barcode data is normal</t>
    <phoneticPr fontId="5" type="noConversion"/>
  </si>
  <si>
    <r>
      <t>Cylinder Change Purge Sequence</t>
    </r>
    <r>
      <rPr>
        <b/>
        <sz val="10"/>
        <rFont val="Arial"/>
        <family val="2"/>
      </rPr>
      <t xml:space="preserve"> 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</si>
</sst>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_ "/>
    <numFmt numFmtId="178" formatCode="mm&quot;월&quot;\ dd&quot;일&quot;"/>
  </numFmts>
  <fonts count="10" x14ac:knownFonts="1">
    <font>
      <sz val="11"/>
      <color rgb="FF000000"/>
      <name val="맑은 고딕"/>
    </font>
    <font>
      <sz val="10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name val="돋움"/>
      <family val="3"/>
      <charset val="129"/>
    </font>
    <font>
      <sz val="11"/>
      <color rgb="FF00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5" xfId="0" applyFont="1" applyBorder="1" applyAlignment="1"/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/>
    <xf numFmtId="0" fontId="2" fillId="0" borderId="7" xfId="0" applyFont="1" applyBorder="1" applyAlignment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/>
    <xf numFmtId="176" fontId="1" fillId="0" borderId="2" xfId="0" applyNumberFormat="1" applyFont="1" applyBorder="1" applyAlignment="1">
      <alignment horizontal="right"/>
    </xf>
    <xf numFmtId="176" fontId="3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left"/>
    </xf>
    <xf numFmtId="177" fontId="1" fillId="0" borderId="0" xfId="0" applyNumberFormat="1" applyFont="1" applyAlignment="1">
      <alignment horizontal="right"/>
    </xf>
    <xf numFmtId="0" fontId="0" fillId="0" borderId="0" xfId="0" applyFont="1" applyAlignment="1"/>
    <xf numFmtId="0" fontId="1" fillId="0" borderId="6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/>
    </xf>
    <xf numFmtId="0" fontId="1" fillId="0" borderId="20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vertical="center"/>
    </xf>
    <xf numFmtId="0" fontId="6" fillId="0" borderId="19" xfId="0" applyFont="1" applyFill="1" applyBorder="1" applyAlignment="1">
      <alignment vertical="center" wrapText="1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4" xfId="0" applyFont="1" applyBorder="1" applyAlignment="1"/>
    <xf numFmtId="0" fontId="1" fillId="0" borderId="25" xfId="0" applyFont="1" applyBorder="1" applyAlignment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/>
    <xf numFmtId="0" fontId="1" fillId="0" borderId="28" xfId="0" applyFont="1" applyBorder="1" applyAlignment="1"/>
    <xf numFmtId="0" fontId="1" fillId="0" borderId="29" xfId="0" applyFont="1" applyBorder="1" applyAlignment="1"/>
    <xf numFmtId="0" fontId="1" fillId="0" borderId="30" xfId="0" applyFont="1" applyBorder="1" applyAlignment="1"/>
    <xf numFmtId="0" fontId="1" fillId="0" borderId="1" xfId="0" applyFont="1" applyBorder="1" applyAlignment="1"/>
    <xf numFmtId="0" fontId="1" fillId="0" borderId="31" xfId="0" applyFont="1" applyBorder="1" applyAlignment="1"/>
    <xf numFmtId="0" fontId="2" fillId="0" borderId="31" xfId="0" applyFont="1" applyBorder="1" applyAlignment="1"/>
    <xf numFmtId="0" fontId="2" fillId="0" borderId="32" xfId="0" applyFont="1" applyBorder="1" applyAlignment="1"/>
    <xf numFmtId="0" fontId="2" fillId="0" borderId="10" xfId="0" applyFont="1" applyBorder="1" applyAlignment="1"/>
    <xf numFmtId="0" fontId="1" fillId="0" borderId="10" xfId="0" applyFont="1" applyBorder="1" applyAlignment="1"/>
    <xf numFmtId="0" fontId="2" fillId="0" borderId="33" xfId="0" applyFont="1" applyBorder="1" applyAlignment="1"/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1" fillId="0" borderId="52" xfId="0" applyFont="1" applyBorder="1" applyAlignment="1">
      <alignment vertical="center"/>
    </xf>
    <xf numFmtId="0" fontId="1" fillId="0" borderId="21" xfId="0" applyFont="1" applyBorder="1" applyAlignment="1">
      <alignment horizontal="left" vertical="center" wrapText="1"/>
    </xf>
    <xf numFmtId="0" fontId="1" fillId="0" borderId="54" xfId="0" applyFont="1" applyBorder="1" applyAlignment="1">
      <alignment vertical="center"/>
    </xf>
    <xf numFmtId="0" fontId="8" fillId="0" borderId="0" xfId="0" applyFont="1" applyAlignment="1"/>
    <xf numFmtId="176" fontId="9" fillId="0" borderId="0" xfId="0" applyNumberFormat="1" applyFont="1" applyAlignment="1">
      <alignment horizontal="right"/>
    </xf>
    <xf numFmtId="0" fontId="1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55" xfId="0" applyFont="1" applyBorder="1" applyAlignment="1">
      <alignment vertical="center"/>
    </xf>
    <xf numFmtId="0" fontId="1" fillId="0" borderId="42" xfId="0" applyFont="1" applyBorder="1" applyAlignment="1">
      <alignment horizontal="right" vertical="center"/>
    </xf>
    <xf numFmtId="178" fontId="1" fillId="0" borderId="42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352425</xdr:colOff>
      <xdr:row>8</xdr:row>
      <xdr:rowOff>9525</xdr:rowOff>
    </xdr:from>
    <xdr:to>
      <xdr:col>18</xdr:col>
      <xdr:colOff>485775</xdr:colOff>
      <xdr:row>11</xdr:row>
      <xdr:rowOff>123825</xdr:rowOff>
    </xdr:to>
    <xdr:sp macro="" textlink="">
      <xdr:nvSpPr>
        <xdr:cNvPr id="7" name="Shape 7"/>
        <xdr:cNvSpPr/>
      </xdr:nvSpPr>
      <xdr:spPr>
        <a:xfrm>
          <a:off x="5279325" y="3479963"/>
          <a:ext cx="133350" cy="600075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523875</xdr:colOff>
      <xdr:row>9</xdr:row>
      <xdr:rowOff>0</xdr:rowOff>
    </xdr:from>
    <xdr:to>
      <xdr:col>20</xdr:col>
      <xdr:colOff>1038225</xdr:colOff>
      <xdr:row>13</xdr:row>
      <xdr:rowOff>76200</xdr:rowOff>
    </xdr:to>
    <xdr:sp macro="" textlink="">
      <xdr:nvSpPr>
        <xdr:cNvPr id="8" name="Shape 8"/>
        <xdr:cNvSpPr txBox="1"/>
      </xdr:nvSpPr>
      <xdr:spPr>
        <a:xfrm>
          <a:off x="4584000" y="3418050"/>
          <a:ext cx="1524000" cy="723900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364435</xdr:colOff>
      <xdr:row>20</xdr:row>
      <xdr:rowOff>49697</xdr:rowOff>
    </xdr:from>
    <xdr:to>
      <xdr:col>18</xdr:col>
      <xdr:colOff>466725</xdr:colOff>
      <xdr:row>27</xdr:row>
      <xdr:rowOff>115956</xdr:rowOff>
    </xdr:to>
    <xdr:sp macro="" textlink="">
      <xdr:nvSpPr>
        <xdr:cNvPr id="9" name="Shape 9"/>
        <xdr:cNvSpPr/>
      </xdr:nvSpPr>
      <xdr:spPr>
        <a:xfrm>
          <a:off x="7943022" y="3362740"/>
          <a:ext cx="102290" cy="1225825"/>
        </a:xfrm>
        <a:prstGeom prst="rightBrace">
          <a:avLst>
            <a:gd name="adj1" fmla="val 107407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485775</xdr:colOff>
      <xdr:row>22</xdr:row>
      <xdr:rowOff>0</xdr:rowOff>
    </xdr:from>
    <xdr:to>
      <xdr:col>20</xdr:col>
      <xdr:colOff>1000125</xdr:colOff>
      <xdr:row>24</xdr:row>
      <xdr:rowOff>91109</xdr:rowOff>
    </xdr:to>
    <xdr:sp macro="" textlink="">
      <xdr:nvSpPr>
        <xdr:cNvPr id="10" name="Shape 10"/>
        <xdr:cNvSpPr txBox="1"/>
      </xdr:nvSpPr>
      <xdr:spPr>
        <a:xfrm>
          <a:off x="8064362" y="3644348"/>
          <a:ext cx="1524828" cy="422413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356152</xdr:colOff>
      <xdr:row>48</xdr:row>
      <xdr:rowOff>47625</xdr:rowOff>
    </xdr:from>
    <xdr:to>
      <xdr:col>18</xdr:col>
      <xdr:colOff>447675</xdr:colOff>
      <xdr:row>55</xdr:row>
      <xdr:rowOff>107674</xdr:rowOff>
    </xdr:to>
    <xdr:sp macro="" textlink="">
      <xdr:nvSpPr>
        <xdr:cNvPr id="11" name="Shape 11"/>
        <xdr:cNvSpPr/>
      </xdr:nvSpPr>
      <xdr:spPr>
        <a:xfrm>
          <a:off x="8290891" y="7833277"/>
          <a:ext cx="91523" cy="1219614"/>
        </a:xfrm>
        <a:prstGeom prst="rightBrace">
          <a:avLst>
            <a:gd name="adj1" fmla="val 110185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447675</xdr:colOff>
      <xdr:row>51</xdr:row>
      <xdr:rowOff>9524</xdr:rowOff>
    </xdr:from>
    <xdr:to>
      <xdr:col>20</xdr:col>
      <xdr:colOff>904875</xdr:colOff>
      <xdr:row>53</xdr:row>
      <xdr:rowOff>15737</xdr:rowOff>
    </xdr:to>
    <xdr:sp macro="" textlink="">
      <xdr:nvSpPr>
        <xdr:cNvPr id="12" name="Shape 12"/>
        <xdr:cNvSpPr txBox="1"/>
      </xdr:nvSpPr>
      <xdr:spPr>
        <a:xfrm>
          <a:off x="8410575" y="9534524"/>
          <a:ext cx="1600200" cy="387213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0</xdr:colOff>
      <xdr:row>86</xdr:row>
      <xdr:rowOff>0</xdr:rowOff>
    </xdr:from>
    <xdr:to>
      <xdr:col>18</xdr:col>
      <xdr:colOff>133350</xdr:colOff>
      <xdr:row>89</xdr:row>
      <xdr:rowOff>114300</xdr:rowOff>
    </xdr:to>
    <xdr:sp macro="" textlink="">
      <xdr:nvSpPr>
        <xdr:cNvPr id="17" name="Shape 7"/>
        <xdr:cNvSpPr/>
      </xdr:nvSpPr>
      <xdr:spPr>
        <a:xfrm>
          <a:off x="7943850" y="13601700"/>
          <a:ext cx="133350" cy="600075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70401</xdr:colOff>
      <xdr:row>86</xdr:row>
      <xdr:rowOff>19882</xdr:rowOff>
    </xdr:from>
    <xdr:to>
      <xdr:col>19</xdr:col>
      <xdr:colOff>251376</xdr:colOff>
      <xdr:row>88</xdr:row>
      <xdr:rowOff>124657</xdr:rowOff>
    </xdr:to>
    <xdr:sp macro="" textlink="">
      <xdr:nvSpPr>
        <xdr:cNvPr id="18" name="Shape 17"/>
        <xdr:cNvSpPr txBox="1"/>
      </xdr:nvSpPr>
      <xdr:spPr>
        <a:xfrm>
          <a:off x="8005140" y="16212382"/>
          <a:ext cx="94297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  <a:sym typeface="Arial"/>
            </a:rPr>
            <a:t>Repeat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  <a:sym typeface="Arial"/>
            </a:rPr>
            <a:t> Until SPT &lt;=0 Psig</a:t>
          </a: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19</xdr:col>
      <xdr:colOff>76200</xdr:colOff>
      <xdr:row>84</xdr:row>
      <xdr:rowOff>53424</xdr:rowOff>
    </xdr:from>
    <xdr:to>
      <xdr:col>19</xdr:col>
      <xdr:colOff>219075</xdr:colOff>
      <xdr:row>91</xdr:row>
      <xdr:rowOff>148674</xdr:rowOff>
    </xdr:to>
    <xdr:sp macro="" textlink="">
      <xdr:nvSpPr>
        <xdr:cNvPr id="19" name="Shape 7"/>
        <xdr:cNvSpPr/>
      </xdr:nvSpPr>
      <xdr:spPr>
        <a:xfrm>
          <a:off x="8772939" y="15864924"/>
          <a:ext cx="142875" cy="1428750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19</xdr:col>
      <xdr:colOff>209550</xdr:colOff>
      <xdr:row>86</xdr:row>
      <xdr:rowOff>28147</xdr:rowOff>
    </xdr:from>
    <xdr:to>
      <xdr:col>20</xdr:col>
      <xdr:colOff>960783</xdr:colOff>
      <xdr:row>88</xdr:row>
      <xdr:rowOff>107675</xdr:rowOff>
    </xdr:to>
    <xdr:sp macro="" textlink="">
      <xdr:nvSpPr>
        <xdr:cNvPr id="20" name="Shape 17"/>
        <xdr:cNvSpPr txBox="1"/>
      </xdr:nvSpPr>
      <xdr:spPr>
        <a:xfrm>
          <a:off x="8906289" y="16220647"/>
          <a:ext cx="1132233" cy="460528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  <a:ea typeface="Arial"/>
              <a:cs typeface="Arial" panose="020B0604020202020204" pitchFamily="34" charset="0"/>
              <a:sym typeface="Arial"/>
            </a:rPr>
            <a:t>Cycle repeat for user set count</a:t>
          </a: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352425</xdr:colOff>
      <xdr:row>8</xdr:row>
      <xdr:rowOff>9525</xdr:rowOff>
    </xdr:from>
    <xdr:to>
      <xdr:col>18</xdr:col>
      <xdr:colOff>485775</xdr:colOff>
      <xdr:row>11</xdr:row>
      <xdr:rowOff>123825</xdr:rowOff>
    </xdr:to>
    <xdr:sp macro="" textlink="">
      <xdr:nvSpPr>
        <xdr:cNvPr id="7" name="Shape 7"/>
        <xdr:cNvSpPr/>
      </xdr:nvSpPr>
      <xdr:spPr>
        <a:xfrm>
          <a:off x="5279325" y="3479963"/>
          <a:ext cx="133350" cy="600075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523875</xdr:colOff>
      <xdr:row>9</xdr:row>
      <xdr:rowOff>0</xdr:rowOff>
    </xdr:from>
    <xdr:to>
      <xdr:col>20</xdr:col>
      <xdr:colOff>990600</xdr:colOff>
      <xdr:row>13</xdr:row>
      <xdr:rowOff>76200</xdr:rowOff>
    </xdr:to>
    <xdr:sp macro="" textlink="">
      <xdr:nvSpPr>
        <xdr:cNvPr id="13" name="Shape 13"/>
        <xdr:cNvSpPr txBox="1"/>
      </xdr:nvSpPr>
      <xdr:spPr>
        <a:xfrm>
          <a:off x="4603050" y="3418050"/>
          <a:ext cx="1485900" cy="723900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339587</xdr:colOff>
      <xdr:row>21</xdr:row>
      <xdr:rowOff>66261</xdr:rowOff>
    </xdr:from>
    <xdr:to>
      <xdr:col>18</xdr:col>
      <xdr:colOff>466725</xdr:colOff>
      <xdr:row>28</xdr:row>
      <xdr:rowOff>107674</xdr:rowOff>
    </xdr:to>
    <xdr:sp macro="" textlink="">
      <xdr:nvSpPr>
        <xdr:cNvPr id="9" name="Shape 9"/>
        <xdr:cNvSpPr/>
      </xdr:nvSpPr>
      <xdr:spPr>
        <a:xfrm>
          <a:off x="8340587" y="3544957"/>
          <a:ext cx="127138" cy="1200978"/>
        </a:xfrm>
        <a:prstGeom prst="rightBrace">
          <a:avLst>
            <a:gd name="adj1" fmla="val 107407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495300</xdr:colOff>
      <xdr:row>22</xdr:row>
      <xdr:rowOff>157369</xdr:rowOff>
    </xdr:from>
    <xdr:to>
      <xdr:col>20</xdr:col>
      <xdr:colOff>933450</xdr:colOff>
      <xdr:row>25</xdr:row>
      <xdr:rowOff>24848</xdr:rowOff>
    </xdr:to>
    <xdr:sp macro="" textlink="">
      <xdr:nvSpPr>
        <xdr:cNvPr id="14" name="Shape 14"/>
        <xdr:cNvSpPr txBox="1"/>
      </xdr:nvSpPr>
      <xdr:spPr>
        <a:xfrm>
          <a:off x="8496300" y="3801717"/>
          <a:ext cx="1581150" cy="364435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356151</xdr:colOff>
      <xdr:row>49</xdr:row>
      <xdr:rowOff>42649</xdr:rowOff>
    </xdr:from>
    <xdr:to>
      <xdr:col>18</xdr:col>
      <xdr:colOff>485774</xdr:colOff>
      <xdr:row>56</xdr:row>
      <xdr:rowOff>99392</xdr:rowOff>
    </xdr:to>
    <xdr:sp macro="" textlink="">
      <xdr:nvSpPr>
        <xdr:cNvPr id="15" name="Shape 15"/>
        <xdr:cNvSpPr/>
      </xdr:nvSpPr>
      <xdr:spPr>
        <a:xfrm>
          <a:off x="8357151" y="8159606"/>
          <a:ext cx="129623" cy="1216308"/>
        </a:xfrm>
        <a:prstGeom prst="rightBrace">
          <a:avLst>
            <a:gd name="adj1" fmla="val 110648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457611</xdr:colOff>
      <xdr:row>50</xdr:row>
      <xdr:rowOff>151159</xdr:rowOff>
    </xdr:from>
    <xdr:to>
      <xdr:col>20</xdr:col>
      <xdr:colOff>895761</xdr:colOff>
      <xdr:row>52</xdr:row>
      <xdr:rowOff>132523</xdr:rowOff>
    </xdr:to>
    <xdr:sp macro="" textlink="">
      <xdr:nvSpPr>
        <xdr:cNvPr id="16" name="Shape 16"/>
        <xdr:cNvSpPr txBox="1"/>
      </xdr:nvSpPr>
      <xdr:spPr>
        <a:xfrm>
          <a:off x="8458611" y="8433768"/>
          <a:ext cx="1581150" cy="312668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0</xdr:colOff>
      <xdr:row>88</xdr:row>
      <xdr:rowOff>0</xdr:rowOff>
    </xdr:from>
    <xdr:to>
      <xdr:col>18</xdr:col>
      <xdr:colOff>133350</xdr:colOff>
      <xdr:row>91</xdr:row>
      <xdr:rowOff>114300</xdr:rowOff>
    </xdr:to>
    <xdr:sp macro="" textlink="">
      <xdr:nvSpPr>
        <xdr:cNvPr id="8" name="Shape 7"/>
        <xdr:cNvSpPr/>
      </xdr:nvSpPr>
      <xdr:spPr>
        <a:xfrm>
          <a:off x="7962900" y="16192500"/>
          <a:ext cx="133350" cy="685800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70401</xdr:colOff>
      <xdr:row>88</xdr:row>
      <xdr:rowOff>19882</xdr:rowOff>
    </xdr:from>
    <xdr:to>
      <xdr:col>19</xdr:col>
      <xdr:colOff>251376</xdr:colOff>
      <xdr:row>90</xdr:row>
      <xdr:rowOff>124657</xdr:rowOff>
    </xdr:to>
    <xdr:sp macro="" textlink="">
      <xdr:nvSpPr>
        <xdr:cNvPr id="10" name="Shape 17"/>
        <xdr:cNvSpPr txBox="1"/>
      </xdr:nvSpPr>
      <xdr:spPr>
        <a:xfrm>
          <a:off x="8033301" y="16212382"/>
          <a:ext cx="94297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  <a:sym typeface="Arial"/>
            </a:rPr>
            <a:t>Repeat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  <a:sym typeface="Arial"/>
            </a:rPr>
            <a:t> Until SPT &lt;=0 Psig</a:t>
          </a: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19</xdr:col>
      <xdr:colOff>76200</xdr:colOff>
      <xdr:row>86</xdr:row>
      <xdr:rowOff>53424</xdr:rowOff>
    </xdr:from>
    <xdr:to>
      <xdr:col>19</xdr:col>
      <xdr:colOff>219075</xdr:colOff>
      <xdr:row>93</xdr:row>
      <xdr:rowOff>148674</xdr:rowOff>
    </xdr:to>
    <xdr:sp macro="" textlink="">
      <xdr:nvSpPr>
        <xdr:cNvPr id="11" name="Shape 7"/>
        <xdr:cNvSpPr/>
      </xdr:nvSpPr>
      <xdr:spPr>
        <a:xfrm>
          <a:off x="8801100" y="15864924"/>
          <a:ext cx="142875" cy="1428750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19</xdr:col>
      <xdr:colOff>209550</xdr:colOff>
      <xdr:row>88</xdr:row>
      <xdr:rowOff>28147</xdr:rowOff>
    </xdr:from>
    <xdr:to>
      <xdr:col>20</xdr:col>
      <xdr:colOff>960783</xdr:colOff>
      <xdr:row>90</xdr:row>
      <xdr:rowOff>107675</xdr:rowOff>
    </xdr:to>
    <xdr:sp macro="" textlink="">
      <xdr:nvSpPr>
        <xdr:cNvPr id="12" name="Shape 17"/>
        <xdr:cNvSpPr txBox="1"/>
      </xdr:nvSpPr>
      <xdr:spPr>
        <a:xfrm>
          <a:off x="8934450" y="16220647"/>
          <a:ext cx="1132233" cy="460528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  <a:ea typeface="Arial"/>
              <a:cs typeface="Arial" panose="020B0604020202020204" pitchFamily="34" charset="0"/>
              <a:sym typeface="Arial"/>
            </a:rPr>
            <a:t>Cycle repeat for user set count</a:t>
          </a: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8</xdr:row>
      <xdr:rowOff>9525</xdr:rowOff>
    </xdr:from>
    <xdr:to>
      <xdr:col>18</xdr:col>
      <xdr:colOff>161925</xdr:colOff>
      <xdr:row>11</xdr:row>
      <xdr:rowOff>123825</xdr:rowOff>
    </xdr:to>
    <xdr:sp macro="" textlink="">
      <xdr:nvSpPr>
        <xdr:cNvPr id="7" name="Shape 7"/>
        <xdr:cNvSpPr/>
      </xdr:nvSpPr>
      <xdr:spPr>
        <a:xfrm>
          <a:off x="5279325" y="3479963"/>
          <a:ext cx="133350" cy="600075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219075</xdr:colOff>
      <xdr:row>9</xdr:row>
      <xdr:rowOff>0</xdr:rowOff>
    </xdr:from>
    <xdr:to>
      <xdr:col>20</xdr:col>
      <xdr:colOff>657225</xdr:colOff>
      <xdr:row>11</xdr:row>
      <xdr:rowOff>123825</xdr:rowOff>
    </xdr:to>
    <xdr:sp macro="" textlink="">
      <xdr:nvSpPr>
        <xdr:cNvPr id="17" name="Shape 17"/>
        <xdr:cNvSpPr txBox="1"/>
      </xdr:nvSpPr>
      <xdr:spPr>
        <a:xfrm>
          <a:off x="4617338" y="3556163"/>
          <a:ext cx="145732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306457</xdr:colOff>
      <xdr:row>21</xdr:row>
      <xdr:rowOff>24846</xdr:rowOff>
    </xdr:from>
    <xdr:to>
      <xdr:col>18</xdr:col>
      <xdr:colOff>447675</xdr:colOff>
      <xdr:row>28</xdr:row>
      <xdr:rowOff>140803</xdr:rowOff>
    </xdr:to>
    <xdr:sp macro="" textlink="">
      <xdr:nvSpPr>
        <xdr:cNvPr id="18" name="Shape 18"/>
        <xdr:cNvSpPr/>
      </xdr:nvSpPr>
      <xdr:spPr>
        <a:xfrm>
          <a:off x="8108674" y="3503542"/>
          <a:ext cx="141218" cy="1275522"/>
        </a:xfrm>
        <a:prstGeom prst="rightBrace">
          <a:avLst>
            <a:gd name="adj1" fmla="val 10787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518906</xdr:colOff>
      <xdr:row>23</xdr:row>
      <xdr:rowOff>0</xdr:rowOff>
    </xdr:from>
    <xdr:to>
      <xdr:col>20</xdr:col>
      <xdr:colOff>957056</xdr:colOff>
      <xdr:row>25</xdr:row>
      <xdr:rowOff>41413</xdr:rowOff>
    </xdr:to>
    <xdr:sp macro="" textlink="">
      <xdr:nvSpPr>
        <xdr:cNvPr id="19" name="Shape 19"/>
        <xdr:cNvSpPr txBox="1"/>
      </xdr:nvSpPr>
      <xdr:spPr>
        <a:xfrm>
          <a:off x="8321123" y="3810000"/>
          <a:ext cx="1581150" cy="372717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323022</xdr:colOff>
      <xdr:row>49</xdr:row>
      <xdr:rowOff>33130</xdr:rowOff>
    </xdr:from>
    <xdr:to>
      <xdr:col>18</xdr:col>
      <xdr:colOff>466725</xdr:colOff>
      <xdr:row>56</xdr:row>
      <xdr:rowOff>124237</xdr:rowOff>
    </xdr:to>
    <xdr:sp macro="" textlink="">
      <xdr:nvSpPr>
        <xdr:cNvPr id="2" name="Shape 18"/>
        <xdr:cNvSpPr/>
      </xdr:nvSpPr>
      <xdr:spPr>
        <a:xfrm>
          <a:off x="8125239" y="8150087"/>
          <a:ext cx="143703" cy="1250672"/>
        </a:xfrm>
        <a:prstGeom prst="rightBrace">
          <a:avLst>
            <a:gd name="adj1" fmla="val 10787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395904</xdr:colOff>
      <xdr:row>50</xdr:row>
      <xdr:rowOff>151158</xdr:rowOff>
    </xdr:from>
    <xdr:to>
      <xdr:col>20</xdr:col>
      <xdr:colOff>834054</xdr:colOff>
      <xdr:row>53</xdr:row>
      <xdr:rowOff>8283</xdr:rowOff>
    </xdr:to>
    <xdr:sp macro="" textlink="">
      <xdr:nvSpPr>
        <xdr:cNvPr id="20" name="Shape 20"/>
        <xdr:cNvSpPr txBox="1"/>
      </xdr:nvSpPr>
      <xdr:spPr>
        <a:xfrm>
          <a:off x="8198121" y="8433767"/>
          <a:ext cx="1581150" cy="354081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Cycle repeat for user set count</a:t>
          </a:r>
          <a:endParaRPr sz="1400"/>
        </a:p>
      </xdr:txBody>
    </xdr:sp>
    <xdr:clientData fLocksWithSheet="0"/>
  </xdr:twoCellAnchor>
  <xdr:twoCellAnchor>
    <xdr:from>
      <xdr:col>18</xdr:col>
      <xdr:colOff>0</xdr:colOff>
      <xdr:row>87</xdr:row>
      <xdr:rowOff>0</xdr:rowOff>
    </xdr:from>
    <xdr:to>
      <xdr:col>18</xdr:col>
      <xdr:colOff>133350</xdr:colOff>
      <xdr:row>90</xdr:row>
      <xdr:rowOff>114300</xdr:rowOff>
    </xdr:to>
    <xdr:sp macro="" textlink="">
      <xdr:nvSpPr>
        <xdr:cNvPr id="8" name="Shape 7"/>
        <xdr:cNvSpPr/>
      </xdr:nvSpPr>
      <xdr:spPr>
        <a:xfrm>
          <a:off x="8029575" y="16764000"/>
          <a:ext cx="133350" cy="685800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18</xdr:col>
      <xdr:colOff>70401</xdr:colOff>
      <xdr:row>87</xdr:row>
      <xdr:rowOff>19882</xdr:rowOff>
    </xdr:from>
    <xdr:to>
      <xdr:col>19</xdr:col>
      <xdr:colOff>251376</xdr:colOff>
      <xdr:row>89</xdr:row>
      <xdr:rowOff>124657</xdr:rowOff>
    </xdr:to>
    <xdr:sp macro="" textlink="">
      <xdr:nvSpPr>
        <xdr:cNvPr id="9" name="Shape 17"/>
        <xdr:cNvSpPr txBox="1"/>
      </xdr:nvSpPr>
      <xdr:spPr>
        <a:xfrm>
          <a:off x="8099976" y="16783882"/>
          <a:ext cx="94297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  <a:sym typeface="Arial"/>
            </a:rPr>
            <a:t>Repeat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  <a:sym typeface="Arial"/>
            </a:rPr>
            <a:t> Until SPT &lt;=0 Psig</a:t>
          </a: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19</xdr:col>
      <xdr:colOff>76200</xdr:colOff>
      <xdr:row>85</xdr:row>
      <xdr:rowOff>53424</xdr:rowOff>
    </xdr:from>
    <xdr:to>
      <xdr:col>19</xdr:col>
      <xdr:colOff>219075</xdr:colOff>
      <xdr:row>92</xdr:row>
      <xdr:rowOff>148674</xdr:rowOff>
    </xdr:to>
    <xdr:sp macro="" textlink="">
      <xdr:nvSpPr>
        <xdr:cNvPr id="10" name="Shape 7"/>
        <xdr:cNvSpPr/>
      </xdr:nvSpPr>
      <xdr:spPr>
        <a:xfrm>
          <a:off x="8867775" y="16436424"/>
          <a:ext cx="142875" cy="1428750"/>
        </a:xfrm>
        <a:prstGeom prst="rightBrace">
          <a:avLst>
            <a:gd name="adj1" fmla="val 375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twoCellAnchor>
  <xdr:twoCellAnchor>
    <xdr:from>
      <xdr:col>19</xdr:col>
      <xdr:colOff>209550</xdr:colOff>
      <xdr:row>87</xdr:row>
      <xdr:rowOff>28147</xdr:rowOff>
    </xdr:from>
    <xdr:to>
      <xdr:col>20</xdr:col>
      <xdr:colOff>960783</xdr:colOff>
      <xdr:row>89</xdr:row>
      <xdr:rowOff>107675</xdr:rowOff>
    </xdr:to>
    <xdr:sp macro="" textlink="">
      <xdr:nvSpPr>
        <xdr:cNvPr id="11" name="Shape 17"/>
        <xdr:cNvSpPr txBox="1"/>
      </xdr:nvSpPr>
      <xdr:spPr>
        <a:xfrm>
          <a:off x="9001125" y="16792147"/>
          <a:ext cx="1132233" cy="460528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  <a:ea typeface="Arial"/>
              <a:cs typeface="Arial" panose="020B0604020202020204" pitchFamily="34" charset="0"/>
              <a:sym typeface="Arial"/>
            </a:rPr>
            <a:t>Cycle repeat for user set count</a:t>
          </a: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02"/>
  <sheetViews>
    <sheetView view="pageBreakPreview" zoomScale="85" zoomScaleNormal="100" zoomScaleSheetLayoutView="85" workbookViewId="0">
      <pane xSplit="8" ySplit="7" topLeftCell="I8" activePane="bottomRight" state="frozen"/>
      <selection activeCell="C27" sqref="C27"/>
      <selection pane="topRight" activeCell="C27" sqref="C27"/>
      <selection pane="bottomLeft" activeCell="C27" sqref="C27"/>
      <selection pane="bottomRight" activeCell="A2" sqref="A2"/>
    </sheetView>
  </sheetViews>
  <sheetFormatPr defaultColWidth="12.625" defaultRowHeight="15" customHeight="1" x14ac:dyDescent="0.3"/>
  <cols>
    <col min="1" max="1" width="4.25" customWidth="1"/>
    <col min="2" max="2" width="20.25" customWidth="1"/>
    <col min="3" max="5" width="5.125" customWidth="1"/>
    <col min="6" max="6" width="36.125" bestFit="1" customWidth="1"/>
    <col min="7" max="7" width="4.25" customWidth="1"/>
    <col min="8" max="8" width="5.5" bestFit="1" customWidth="1"/>
    <col min="9" max="18" width="1.875" customWidth="1"/>
    <col min="19" max="19" width="11.5" bestFit="1" customWidth="1"/>
    <col min="20" max="20" width="5" customWidth="1"/>
    <col min="21" max="21" width="47.75" customWidth="1"/>
    <col min="22" max="22" width="32" bestFit="1" customWidth="1"/>
    <col min="23" max="28" width="6.875" customWidth="1"/>
    <col min="29" max="31" width="7.875" customWidth="1"/>
  </cols>
  <sheetData>
    <row r="1" spans="1:38" ht="15" customHeight="1" x14ac:dyDescent="0.3">
      <c r="A1" s="1" t="s">
        <v>5</v>
      </c>
      <c r="B1" s="1"/>
      <c r="C1" s="2"/>
      <c r="D1" s="2"/>
      <c r="E1" s="2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8" ht="15" customHeight="1" x14ac:dyDescent="0.3">
      <c r="A2" s="3" t="s">
        <v>194</v>
      </c>
      <c r="B2" s="1"/>
      <c r="C2" s="2"/>
      <c r="D2" s="1"/>
      <c r="E2" s="2"/>
      <c r="F2" s="1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8" ht="15" customHeight="1" x14ac:dyDescent="0.3">
      <c r="A3" s="52"/>
      <c r="B3" s="53"/>
      <c r="C3" s="54"/>
      <c r="D3" s="54"/>
      <c r="E3" s="54"/>
      <c r="F3" s="53"/>
      <c r="G3" s="54"/>
      <c r="H3" s="55"/>
      <c r="I3" s="56" t="s">
        <v>1</v>
      </c>
      <c r="J3" s="56" t="s">
        <v>1</v>
      </c>
      <c r="K3" s="56" t="s">
        <v>1</v>
      </c>
      <c r="L3" s="56" t="s">
        <v>6</v>
      </c>
      <c r="M3" s="56" t="s">
        <v>7</v>
      </c>
      <c r="N3" s="56" t="s">
        <v>6</v>
      </c>
      <c r="O3" s="56" t="s">
        <v>8</v>
      </c>
      <c r="P3" s="56" t="s">
        <v>8</v>
      </c>
      <c r="Q3" s="56" t="s">
        <v>8</v>
      </c>
      <c r="R3" s="57" t="s">
        <v>9</v>
      </c>
      <c r="S3" s="53"/>
      <c r="T3" s="54"/>
      <c r="U3" s="53"/>
      <c r="V3" s="58"/>
      <c r="W3" s="1"/>
      <c r="X3" s="1"/>
      <c r="Y3" s="1"/>
      <c r="Z3" s="1"/>
      <c r="AA3" s="1"/>
      <c r="AB3" s="1"/>
      <c r="AC3" s="1"/>
      <c r="AD3" s="1"/>
      <c r="AE3" s="1"/>
    </row>
    <row r="4" spans="1:38" ht="15" customHeight="1" x14ac:dyDescent="0.3">
      <c r="A4" s="59"/>
      <c r="B4" s="4"/>
      <c r="C4" s="5"/>
      <c r="D4" s="5"/>
      <c r="E4" s="5"/>
      <c r="F4" s="4"/>
      <c r="G4" s="5"/>
      <c r="H4" s="6" t="s">
        <v>10</v>
      </c>
      <c r="I4" s="60" t="s">
        <v>11</v>
      </c>
      <c r="J4" s="60" t="s">
        <v>12</v>
      </c>
      <c r="K4" s="60" t="s">
        <v>13</v>
      </c>
      <c r="L4" s="60" t="s">
        <v>8</v>
      </c>
      <c r="M4" s="60" t="s">
        <v>8</v>
      </c>
      <c r="N4" s="60" t="s">
        <v>8</v>
      </c>
      <c r="O4" s="60" t="s">
        <v>12</v>
      </c>
      <c r="P4" s="60" t="s">
        <v>12</v>
      </c>
      <c r="Q4" s="60" t="s">
        <v>12</v>
      </c>
      <c r="R4" s="7" t="s">
        <v>12</v>
      </c>
      <c r="S4" s="4"/>
      <c r="T4" s="5"/>
      <c r="U4" s="4"/>
      <c r="V4" s="61"/>
      <c r="W4" s="1"/>
      <c r="X4" s="1"/>
      <c r="Y4" s="1"/>
      <c r="Z4" s="1"/>
      <c r="AA4" s="1"/>
      <c r="AB4" s="1"/>
      <c r="AC4" s="1"/>
      <c r="AD4" s="1"/>
      <c r="AE4" s="1"/>
    </row>
    <row r="5" spans="1:38" ht="15" customHeight="1" x14ac:dyDescent="0.3">
      <c r="A5" s="59"/>
      <c r="B5" s="4"/>
      <c r="C5" s="5"/>
      <c r="D5" s="8" t="s">
        <v>14</v>
      </c>
      <c r="E5" s="8" t="s">
        <v>15</v>
      </c>
      <c r="F5" s="4"/>
      <c r="G5" s="5" t="s">
        <v>16</v>
      </c>
      <c r="H5" s="6" t="s">
        <v>16</v>
      </c>
      <c r="I5" s="60" t="s">
        <v>9</v>
      </c>
      <c r="J5" s="60" t="s">
        <v>11</v>
      </c>
      <c r="K5" s="60" t="s">
        <v>17</v>
      </c>
      <c r="L5" s="60" t="s">
        <v>18</v>
      </c>
      <c r="M5" s="60" t="s">
        <v>9</v>
      </c>
      <c r="N5" s="60" t="s">
        <v>9</v>
      </c>
      <c r="O5" s="60" t="s">
        <v>18</v>
      </c>
      <c r="P5" s="60" t="s">
        <v>9</v>
      </c>
      <c r="Q5" s="60" t="s">
        <v>2</v>
      </c>
      <c r="R5" s="7" t="s">
        <v>2</v>
      </c>
      <c r="S5" s="9" t="s">
        <v>14</v>
      </c>
      <c r="T5" s="8" t="s">
        <v>14</v>
      </c>
      <c r="U5" s="9"/>
      <c r="V5" s="62"/>
      <c r="W5" s="1"/>
      <c r="X5" s="1"/>
      <c r="Y5" s="1"/>
      <c r="Z5" s="1"/>
      <c r="AA5" s="1"/>
      <c r="AB5" s="1"/>
      <c r="AC5" s="1"/>
      <c r="AD5" s="1"/>
      <c r="AE5" s="1"/>
    </row>
    <row r="6" spans="1:38" ht="15" customHeight="1" x14ac:dyDescent="0.3">
      <c r="A6" s="63" t="s">
        <v>19</v>
      </c>
      <c r="B6" s="10" t="s">
        <v>20</v>
      </c>
      <c r="C6" s="11" t="s">
        <v>21</v>
      </c>
      <c r="D6" s="11" t="s">
        <v>22</v>
      </c>
      <c r="E6" s="11" t="s">
        <v>22</v>
      </c>
      <c r="F6" s="10" t="s">
        <v>23</v>
      </c>
      <c r="G6" s="11" t="s">
        <v>24</v>
      </c>
      <c r="H6" s="12" t="s">
        <v>24</v>
      </c>
      <c r="I6" s="64"/>
      <c r="J6" s="64"/>
      <c r="K6" s="64"/>
      <c r="L6" s="64"/>
      <c r="M6" s="64"/>
      <c r="N6" s="64"/>
      <c r="O6" s="64"/>
      <c r="P6" s="64"/>
      <c r="Q6" s="65" t="s">
        <v>92</v>
      </c>
      <c r="R6" s="13"/>
      <c r="S6" s="10" t="s">
        <v>25</v>
      </c>
      <c r="T6" s="11" t="s">
        <v>108</v>
      </c>
      <c r="U6" s="10" t="s">
        <v>26</v>
      </c>
      <c r="V6" s="66" t="s">
        <v>27</v>
      </c>
      <c r="W6" s="3"/>
      <c r="X6" s="3"/>
      <c r="Y6" s="3"/>
      <c r="Z6" s="3"/>
      <c r="AA6" s="3"/>
      <c r="AB6" s="3"/>
      <c r="AC6" s="3"/>
      <c r="AD6" s="3"/>
      <c r="AE6" s="3"/>
    </row>
    <row r="7" spans="1:38" ht="15" customHeight="1" thickBot="1" x14ac:dyDescent="0.35">
      <c r="A7" s="67">
        <v>1</v>
      </c>
      <c r="B7" s="21" t="s">
        <v>28</v>
      </c>
      <c r="C7" s="22">
        <v>1</v>
      </c>
      <c r="D7" s="22" t="s">
        <v>129</v>
      </c>
      <c r="E7" s="22">
        <v>2</v>
      </c>
      <c r="F7" s="21" t="s">
        <v>142</v>
      </c>
      <c r="G7" s="22" t="s">
        <v>29</v>
      </c>
      <c r="H7" s="22" t="s">
        <v>29</v>
      </c>
      <c r="I7" s="21" t="s">
        <v>11</v>
      </c>
      <c r="J7" s="21" t="s">
        <v>11</v>
      </c>
      <c r="K7" s="21" t="s">
        <v>11</v>
      </c>
      <c r="L7" s="21" t="s">
        <v>11</v>
      </c>
      <c r="M7" s="21" t="s">
        <v>11</v>
      </c>
      <c r="N7" s="21" t="s">
        <v>11</v>
      </c>
      <c r="O7" s="21" t="s">
        <v>11</v>
      </c>
      <c r="P7" s="21" t="s">
        <v>11</v>
      </c>
      <c r="Q7" s="21" t="s">
        <v>11</v>
      </c>
      <c r="R7" s="21" t="s">
        <v>11</v>
      </c>
      <c r="S7" s="21"/>
      <c r="T7" s="22"/>
      <c r="U7" s="21" t="s">
        <v>30</v>
      </c>
      <c r="V7" s="68" t="s">
        <v>0</v>
      </c>
      <c r="W7" s="1"/>
      <c r="X7" s="1"/>
      <c r="Y7" s="1"/>
      <c r="Z7" s="1"/>
      <c r="AA7" s="1"/>
      <c r="AB7" s="1"/>
      <c r="AC7" s="1"/>
      <c r="AD7" s="1"/>
      <c r="AE7" s="1"/>
    </row>
    <row r="8" spans="1:38" ht="15" customHeight="1" thickTop="1" x14ac:dyDescent="0.3">
      <c r="A8" s="69">
        <v>2</v>
      </c>
      <c r="B8" s="23" t="s">
        <v>31</v>
      </c>
      <c r="C8" s="24" t="s">
        <v>100</v>
      </c>
      <c r="D8" s="25">
        <v>1</v>
      </c>
      <c r="E8" s="25" t="s">
        <v>0</v>
      </c>
      <c r="F8" s="23" t="s">
        <v>32</v>
      </c>
      <c r="G8" s="26">
        <v>7</v>
      </c>
      <c r="H8" s="26">
        <f>G8</f>
        <v>7</v>
      </c>
      <c r="I8" s="27"/>
      <c r="J8" s="27"/>
      <c r="K8" s="27"/>
      <c r="L8" s="27"/>
      <c r="M8" s="27"/>
      <c r="N8" s="27"/>
      <c r="O8" s="27"/>
      <c r="P8" s="27"/>
      <c r="Q8" s="27"/>
      <c r="R8" s="27" t="s">
        <v>17</v>
      </c>
      <c r="S8" s="27" t="s">
        <v>33</v>
      </c>
      <c r="T8" s="26" t="s">
        <v>1</v>
      </c>
      <c r="U8" s="27" t="s">
        <v>34</v>
      </c>
      <c r="V8" s="70" t="s">
        <v>35</v>
      </c>
      <c r="W8" s="1">
        <f>SUM(G8)</f>
        <v>7</v>
      </c>
      <c r="X8" s="1"/>
      <c r="Y8" s="1">
        <f>SUM(G8)</f>
        <v>7</v>
      </c>
      <c r="Z8" s="1"/>
      <c r="AA8" s="1">
        <f>SUM(G8)</f>
        <v>7</v>
      </c>
      <c r="AB8" s="1"/>
      <c r="AC8" s="1"/>
      <c r="AD8" s="1"/>
      <c r="AE8" s="1"/>
    </row>
    <row r="9" spans="1:38" ht="15" customHeight="1" x14ac:dyDescent="0.3">
      <c r="A9" s="71"/>
      <c r="B9" s="28"/>
      <c r="C9" s="29"/>
      <c r="D9" s="29"/>
      <c r="E9" s="29"/>
      <c r="F9" s="28"/>
      <c r="G9" s="30">
        <v>13</v>
      </c>
      <c r="H9" s="30">
        <f t="shared" ref="H9:H14" si="0">G9+H8</f>
        <v>20</v>
      </c>
      <c r="I9" s="31"/>
      <c r="J9" s="31"/>
      <c r="K9" s="31"/>
      <c r="L9" s="31"/>
      <c r="M9" s="31" t="s">
        <v>17</v>
      </c>
      <c r="N9" s="31"/>
      <c r="O9" s="31"/>
      <c r="P9" s="31"/>
      <c r="Q9" s="31"/>
      <c r="R9" s="31" t="s">
        <v>17</v>
      </c>
      <c r="S9" s="31"/>
      <c r="T9" s="30"/>
      <c r="U9" s="31"/>
      <c r="V9" s="72" t="s">
        <v>0</v>
      </c>
      <c r="W9" s="1"/>
      <c r="X9" s="1"/>
      <c r="Y9" s="1"/>
      <c r="Z9" s="1"/>
      <c r="AA9" s="1"/>
      <c r="AB9" s="1"/>
      <c r="AC9" s="1"/>
      <c r="AD9" s="1"/>
      <c r="AE9" s="1"/>
    </row>
    <row r="10" spans="1:38" ht="15" customHeight="1" x14ac:dyDescent="0.3">
      <c r="A10" s="71"/>
      <c r="B10" s="28"/>
      <c r="C10" s="29"/>
      <c r="D10" s="29"/>
      <c r="E10" s="29"/>
      <c r="F10" s="28"/>
      <c r="G10" s="30">
        <v>15</v>
      </c>
      <c r="H10" s="30">
        <f t="shared" si="0"/>
        <v>35</v>
      </c>
      <c r="I10" s="31"/>
      <c r="J10" s="31"/>
      <c r="K10" s="31"/>
      <c r="L10" s="31"/>
      <c r="M10" s="31" t="s">
        <v>11</v>
      </c>
      <c r="N10" s="31"/>
      <c r="O10" s="31"/>
      <c r="P10" s="31"/>
      <c r="Q10" s="31"/>
      <c r="R10" s="31" t="s">
        <v>17</v>
      </c>
      <c r="S10" s="31"/>
      <c r="T10" s="30"/>
      <c r="U10" s="31"/>
      <c r="V10" s="72" t="s">
        <v>0</v>
      </c>
      <c r="W10" s="1"/>
      <c r="X10" s="1"/>
      <c r="Y10" s="1"/>
      <c r="Z10" s="1"/>
      <c r="AA10" s="1"/>
      <c r="AB10" s="1"/>
      <c r="AC10" s="1"/>
      <c r="AD10" s="1"/>
      <c r="AE10" s="1"/>
    </row>
    <row r="11" spans="1:38" ht="15" customHeight="1" x14ac:dyDescent="0.3">
      <c r="A11" s="71"/>
      <c r="B11" s="28"/>
      <c r="C11" s="29"/>
      <c r="D11" s="29"/>
      <c r="E11" s="29"/>
      <c r="F11" s="28"/>
      <c r="G11" s="30">
        <v>13</v>
      </c>
      <c r="H11" s="30">
        <f t="shared" si="0"/>
        <v>48</v>
      </c>
      <c r="I11" s="31"/>
      <c r="J11" s="31"/>
      <c r="K11" s="31"/>
      <c r="L11" s="31" t="s">
        <v>17</v>
      </c>
      <c r="M11" s="31"/>
      <c r="N11" s="31"/>
      <c r="O11" s="31"/>
      <c r="P11" s="31"/>
      <c r="Q11" s="31"/>
      <c r="R11" s="31" t="s">
        <v>17</v>
      </c>
      <c r="S11" s="31"/>
      <c r="T11" s="30"/>
      <c r="U11" s="31"/>
      <c r="V11" s="72" t="s">
        <v>0</v>
      </c>
      <c r="W11" s="1"/>
      <c r="X11" s="1"/>
      <c r="Y11" s="1"/>
      <c r="Z11" s="1"/>
      <c r="AA11" s="1"/>
      <c r="AB11" s="1"/>
      <c r="AC11" s="1"/>
      <c r="AD11" s="1"/>
      <c r="AE11" s="1"/>
    </row>
    <row r="12" spans="1:38" ht="15" customHeight="1" x14ac:dyDescent="0.3">
      <c r="A12" s="71"/>
      <c r="B12" s="28"/>
      <c r="C12" s="29"/>
      <c r="D12" s="29"/>
      <c r="E12" s="29"/>
      <c r="F12" s="28"/>
      <c r="G12" s="30">
        <v>2</v>
      </c>
      <c r="H12" s="30">
        <f t="shared" si="0"/>
        <v>50</v>
      </c>
      <c r="I12" s="31"/>
      <c r="J12" s="31"/>
      <c r="K12" s="31"/>
      <c r="L12" s="31" t="s">
        <v>11</v>
      </c>
      <c r="M12" s="31"/>
      <c r="N12" s="31"/>
      <c r="O12" s="31"/>
      <c r="P12" s="31"/>
      <c r="Q12" s="31"/>
      <c r="R12" s="31" t="s">
        <v>17</v>
      </c>
      <c r="S12" s="31"/>
      <c r="T12" s="30"/>
      <c r="U12" s="31"/>
      <c r="V12" s="72" t="s">
        <v>0</v>
      </c>
      <c r="W12" s="1">
        <f>SUM(G9:G12)*15</f>
        <v>645</v>
      </c>
      <c r="X12" s="1"/>
      <c r="Y12" s="1">
        <f>SUM(G9:G12)*15</f>
        <v>645</v>
      </c>
      <c r="Z12" s="1"/>
      <c r="AA12" s="1">
        <f>SUM(G9:G12)*15</f>
        <v>645</v>
      </c>
      <c r="AB12" s="1"/>
      <c r="AC12" s="1"/>
      <c r="AD12" s="1"/>
      <c r="AE12" s="1"/>
    </row>
    <row r="13" spans="1:38" ht="15" customHeight="1" x14ac:dyDescent="0.3">
      <c r="A13" s="71"/>
      <c r="B13" s="28"/>
      <c r="C13" s="29"/>
      <c r="D13" s="29"/>
      <c r="E13" s="29"/>
      <c r="F13" s="28"/>
      <c r="G13" s="32">
        <v>2</v>
      </c>
      <c r="H13" s="30">
        <f t="shared" si="0"/>
        <v>52</v>
      </c>
      <c r="I13" s="33"/>
      <c r="J13" s="33"/>
      <c r="K13" s="33"/>
      <c r="L13" s="33"/>
      <c r="M13" s="33"/>
      <c r="N13" s="33"/>
      <c r="O13" s="33"/>
      <c r="P13" s="33"/>
      <c r="Q13" s="33"/>
      <c r="R13" s="33" t="s">
        <v>11</v>
      </c>
      <c r="S13" s="33"/>
      <c r="T13" s="32"/>
      <c r="U13" s="33"/>
      <c r="V13" s="73" t="s">
        <v>0</v>
      </c>
      <c r="W13" s="1">
        <f t="shared" ref="W13:W14" si="1">SUM(G13)</f>
        <v>2</v>
      </c>
      <c r="X13" s="1"/>
      <c r="Y13" s="1">
        <f t="shared" ref="Y13:Y14" si="2">SUM(G13)</f>
        <v>2</v>
      </c>
      <c r="Z13" s="1"/>
      <c r="AA13" s="1">
        <f t="shared" ref="AA13:AA14" si="3">SUM(G13)</f>
        <v>2</v>
      </c>
      <c r="AB13" s="1"/>
      <c r="AC13" s="1"/>
      <c r="AD13" s="1"/>
      <c r="AE13" s="1"/>
    </row>
    <row r="14" spans="1:38" ht="15" customHeight="1" thickBot="1" x14ac:dyDescent="0.35">
      <c r="A14" s="74"/>
      <c r="B14" s="34"/>
      <c r="C14" s="35"/>
      <c r="D14" s="35"/>
      <c r="E14" s="35"/>
      <c r="F14" s="34"/>
      <c r="G14" s="50">
        <v>10</v>
      </c>
      <c r="H14" s="50">
        <f t="shared" si="0"/>
        <v>62</v>
      </c>
      <c r="I14" s="49" t="s">
        <v>0</v>
      </c>
      <c r="J14" s="49" t="s">
        <v>0</v>
      </c>
      <c r="K14" s="21" t="s">
        <v>0</v>
      </c>
      <c r="L14" s="21" t="s">
        <v>0</v>
      </c>
      <c r="M14" s="21" t="s">
        <v>0</v>
      </c>
      <c r="N14" s="21" t="s">
        <v>0</v>
      </c>
      <c r="O14" s="21" t="s">
        <v>0</v>
      </c>
      <c r="P14" s="21" t="s">
        <v>0</v>
      </c>
      <c r="Q14" s="21" t="s">
        <v>0</v>
      </c>
      <c r="R14" s="21" t="s">
        <v>0</v>
      </c>
      <c r="S14" s="49" t="s">
        <v>131</v>
      </c>
      <c r="T14" s="50" t="s">
        <v>1</v>
      </c>
      <c r="U14" s="49" t="s">
        <v>110</v>
      </c>
      <c r="V14" s="75" t="s">
        <v>122</v>
      </c>
      <c r="W14" s="1">
        <f t="shared" si="1"/>
        <v>10</v>
      </c>
      <c r="X14" s="1"/>
      <c r="Y14" s="1">
        <f t="shared" si="2"/>
        <v>10</v>
      </c>
      <c r="Z14" s="1"/>
      <c r="AA14" s="1">
        <f t="shared" si="3"/>
        <v>10</v>
      </c>
      <c r="AB14" s="1"/>
      <c r="AC14" s="1"/>
      <c r="AD14" s="1"/>
      <c r="AE14" s="1"/>
    </row>
    <row r="15" spans="1:38" s="19" customFormat="1" ht="15" customHeight="1" thickTop="1" x14ac:dyDescent="0.3">
      <c r="A15" s="69">
        <v>3</v>
      </c>
      <c r="B15" s="23" t="s">
        <v>36</v>
      </c>
      <c r="C15" s="25">
        <v>1</v>
      </c>
      <c r="D15" s="25">
        <v>1</v>
      </c>
      <c r="E15" s="25" t="s">
        <v>0</v>
      </c>
      <c r="F15" s="23" t="s">
        <v>65</v>
      </c>
      <c r="G15" s="26">
        <v>7</v>
      </c>
      <c r="H15" s="26">
        <f>G15</f>
        <v>7</v>
      </c>
      <c r="I15" s="27"/>
      <c r="J15" s="27"/>
      <c r="K15" s="27"/>
      <c r="L15" s="27"/>
      <c r="M15" s="27"/>
      <c r="N15" s="27"/>
      <c r="O15" s="27"/>
      <c r="P15" s="27"/>
      <c r="Q15" s="27"/>
      <c r="R15" s="27" t="s">
        <v>17</v>
      </c>
      <c r="S15" s="27" t="s">
        <v>33</v>
      </c>
      <c r="T15" s="26" t="s">
        <v>1</v>
      </c>
      <c r="U15" s="27" t="s">
        <v>34</v>
      </c>
      <c r="V15" s="70" t="s">
        <v>38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s="19" customFormat="1" ht="15" customHeight="1" x14ac:dyDescent="0.3">
      <c r="A16" s="71"/>
      <c r="B16" s="28"/>
      <c r="C16" s="29"/>
      <c r="D16" s="29"/>
      <c r="E16" s="29"/>
      <c r="F16" s="28"/>
      <c r="G16" s="30">
        <v>7</v>
      </c>
      <c r="H16" s="30">
        <f t="shared" ref="H16:H19" si="4">G16+H15</f>
        <v>14</v>
      </c>
      <c r="I16" s="31"/>
      <c r="J16" s="31"/>
      <c r="K16" s="31"/>
      <c r="L16" s="31" t="s">
        <v>17</v>
      </c>
      <c r="M16" s="31" t="s">
        <v>17</v>
      </c>
      <c r="N16" s="31"/>
      <c r="O16" s="31"/>
      <c r="P16" s="31"/>
      <c r="Q16" s="31"/>
      <c r="R16" s="31" t="s">
        <v>17</v>
      </c>
      <c r="S16" s="31" t="s">
        <v>3</v>
      </c>
      <c r="T16" s="30" t="s">
        <v>1</v>
      </c>
      <c r="U16" s="31" t="s">
        <v>91</v>
      </c>
      <c r="V16" s="72" t="s">
        <v>122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s="19" customFormat="1" ht="15" customHeight="1" x14ac:dyDescent="0.3">
      <c r="A17" s="71"/>
      <c r="B17" s="28"/>
      <c r="C17" s="29"/>
      <c r="D17" s="29"/>
      <c r="E17" s="29"/>
      <c r="F17" s="28"/>
      <c r="G17" s="30">
        <v>2</v>
      </c>
      <c r="H17" s="30">
        <f t="shared" si="4"/>
        <v>16</v>
      </c>
      <c r="I17" s="31"/>
      <c r="J17" s="31"/>
      <c r="K17" s="31"/>
      <c r="L17" s="31" t="s">
        <v>11</v>
      </c>
      <c r="M17" s="31" t="s">
        <v>11</v>
      </c>
      <c r="N17" s="31"/>
      <c r="O17" s="31"/>
      <c r="P17" s="31"/>
      <c r="Q17" s="31"/>
      <c r="R17" s="31" t="s">
        <v>17</v>
      </c>
      <c r="S17" s="31"/>
      <c r="T17" s="30"/>
      <c r="U17" s="31"/>
      <c r="V17" s="7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s="19" customFormat="1" ht="15" customHeight="1" x14ac:dyDescent="0.3">
      <c r="A18" s="71"/>
      <c r="B18" s="28"/>
      <c r="C18" s="29"/>
      <c r="D18" s="29"/>
      <c r="E18" s="29"/>
      <c r="F18" s="28"/>
      <c r="G18" s="30">
        <v>2</v>
      </c>
      <c r="H18" s="30">
        <f t="shared" si="4"/>
        <v>18</v>
      </c>
      <c r="I18" s="31"/>
      <c r="J18" s="31"/>
      <c r="K18" s="31"/>
      <c r="L18" s="31"/>
      <c r="M18" s="31"/>
      <c r="N18" s="31"/>
      <c r="O18" s="31"/>
      <c r="P18" s="31"/>
      <c r="Q18" s="31"/>
      <c r="R18" s="31" t="s">
        <v>11</v>
      </c>
      <c r="S18" s="31"/>
      <c r="T18" s="30"/>
      <c r="U18" s="31"/>
      <c r="V18" s="72" t="s"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s="19" customFormat="1" ht="15" customHeight="1" thickBot="1" x14ac:dyDescent="0.35">
      <c r="A19" s="74"/>
      <c r="B19" s="34"/>
      <c r="C19" s="35"/>
      <c r="D19" s="35"/>
      <c r="E19" s="35"/>
      <c r="F19" s="34"/>
      <c r="G19" s="22">
        <v>180</v>
      </c>
      <c r="H19" s="30">
        <f t="shared" si="4"/>
        <v>198</v>
      </c>
      <c r="I19" s="21" t="s">
        <v>0</v>
      </c>
      <c r="J19" s="21" t="s">
        <v>0</v>
      </c>
      <c r="K19" s="21" t="s">
        <v>0</v>
      </c>
      <c r="L19" s="21" t="s">
        <v>0</v>
      </c>
      <c r="M19" s="21" t="s">
        <v>0</v>
      </c>
      <c r="N19" s="21" t="s">
        <v>0</v>
      </c>
      <c r="O19" s="21" t="s">
        <v>0</v>
      </c>
      <c r="P19" s="21" t="s">
        <v>0</v>
      </c>
      <c r="Q19" s="21" t="s">
        <v>0</v>
      </c>
      <c r="R19" s="21" t="s">
        <v>0</v>
      </c>
      <c r="S19" s="31" t="s">
        <v>3</v>
      </c>
      <c r="T19" s="30" t="s">
        <v>1</v>
      </c>
      <c r="U19" s="31" t="s">
        <v>111</v>
      </c>
      <c r="V19" s="72" t="s">
        <v>122</v>
      </c>
      <c r="W19" s="1">
        <f>SUM(G15:G19)</f>
        <v>198</v>
      </c>
      <c r="X19" s="1"/>
      <c r="Y19" s="1">
        <f>SUM(G15:G19)</f>
        <v>198</v>
      </c>
      <c r="Z19" s="1"/>
      <c r="AA19" s="1">
        <f>SUM(G15:G19)</f>
        <v>198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" customHeight="1" thickTop="1" thickBot="1" x14ac:dyDescent="0.35">
      <c r="A20" s="76">
        <v>4</v>
      </c>
      <c r="B20" s="36" t="s">
        <v>114</v>
      </c>
      <c r="C20" s="37">
        <v>1</v>
      </c>
      <c r="D20" s="25" t="s">
        <v>0</v>
      </c>
      <c r="E20" s="37">
        <v>5</v>
      </c>
      <c r="F20" s="36" t="s">
        <v>112</v>
      </c>
      <c r="G20" s="37" t="s">
        <v>29</v>
      </c>
      <c r="H20" s="37" t="s">
        <v>29</v>
      </c>
      <c r="I20" s="36" t="s">
        <v>11</v>
      </c>
      <c r="J20" s="36" t="s">
        <v>11</v>
      </c>
      <c r="K20" s="36" t="s">
        <v>11</v>
      </c>
      <c r="L20" s="36" t="s">
        <v>11</v>
      </c>
      <c r="M20" s="36" t="s">
        <v>11</v>
      </c>
      <c r="N20" s="36" t="s">
        <v>11</v>
      </c>
      <c r="O20" s="36" t="s">
        <v>11</v>
      </c>
      <c r="P20" s="36" t="s">
        <v>11</v>
      </c>
      <c r="Q20" s="36" t="s">
        <v>11</v>
      </c>
      <c r="R20" s="36" t="s">
        <v>11</v>
      </c>
      <c r="S20" s="36"/>
      <c r="T20" s="37"/>
      <c r="U20" s="36" t="s">
        <v>30</v>
      </c>
      <c r="V20" s="77"/>
      <c r="W20" s="1"/>
      <c r="X20" s="1"/>
      <c r="Y20" s="1"/>
      <c r="Z20" s="1"/>
      <c r="AA20" s="1"/>
      <c r="AB20" s="1"/>
      <c r="AC20" s="1"/>
      <c r="AD20" s="1"/>
      <c r="AE20" s="1"/>
    </row>
    <row r="21" spans="1:38" ht="15" customHeight="1" thickTop="1" x14ac:dyDescent="0.3">
      <c r="A21" s="69">
        <v>5</v>
      </c>
      <c r="B21" s="23" t="s">
        <v>40</v>
      </c>
      <c r="C21" s="25" t="s">
        <v>100</v>
      </c>
      <c r="D21" s="25">
        <v>5</v>
      </c>
      <c r="E21" s="25" t="s">
        <v>0</v>
      </c>
      <c r="F21" s="23" t="s">
        <v>41</v>
      </c>
      <c r="G21" s="26">
        <v>7</v>
      </c>
      <c r="H21" s="26">
        <f>G21</f>
        <v>7</v>
      </c>
      <c r="I21" s="27"/>
      <c r="J21" s="27"/>
      <c r="K21" s="27"/>
      <c r="L21" s="27"/>
      <c r="M21" s="27"/>
      <c r="N21" s="27"/>
      <c r="O21" s="27"/>
      <c r="P21" s="27"/>
      <c r="Q21" s="27"/>
      <c r="R21" s="27" t="s">
        <v>17</v>
      </c>
      <c r="S21" s="27" t="s">
        <v>33</v>
      </c>
      <c r="T21" s="26" t="s">
        <v>1</v>
      </c>
      <c r="U21" s="27" t="s">
        <v>34</v>
      </c>
      <c r="V21" s="70" t="s">
        <v>42</v>
      </c>
      <c r="W21" s="1"/>
      <c r="X21" s="1"/>
      <c r="Y21" s="1"/>
      <c r="Z21" s="1"/>
      <c r="AA21" s="1"/>
      <c r="AB21" s="1"/>
      <c r="AC21" s="1"/>
      <c r="AD21" s="1"/>
      <c r="AE21" s="1"/>
    </row>
    <row r="22" spans="1:38" ht="15" customHeight="1" x14ac:dyDescent="0.3">
      <c r="A22" s="71"/>
      <c r="B22" s="28"/>
      <c r="C22" s="29"/>
      <c r="D22" s="29"/>
      <c r="E22" s="29"/>
      <c r="F22" s="28"/>
      <c r="G22" s="30">
        <v>13</v>
      </c>
      <c r="H22" s="30">
        <f t="shared" ref="H22:H28" si="5">G22+H21</f>
        <v>20</v>
      </c>
      <c r="I22" s="31"/>
      <c r="J22" s="31"/>
      <c r="K22" s="31"/>
      <c r="L22" s="31"/>
      <c r="M22" s="31"/>
      <c r="N22" s="31" t="s">
        <v>17</v>
      </c>
      <c r="O22" s="31"/>
      <c r="P22" s="31"/>
      <c r="Q22" s="31"/>
      <c r="R22" s="31" t="s">
        <v>17</v>
      </c>
      <c r="S22" s="31" t="s">
        <v>3</v>
      </c>
      <c r="T22" s="30" t="s">
        <v>1</v>
      </c>
      <c r="U22" s="31" t="s">
        <v>91</v>
      </c>
      <c r="V22" s="72" t="s">
        <v>122</v>
      </c>
      <c r="W22" s="1"/>
      <c r="X22" s="1"/>
      <c r="Y22" s="1"/>
      <c r="Z22" s="1"/>
      <c r="AA22" s="1"/>
      <c r="AB22" s="1"/>
      <c r="AC22" s="1"/>
      <c r="AD22" s="1"/>
      <c r="AE22" s="1"/>
    </row>
    <row r="23" spans="1:38" ht="15" customHeight="1" x14ac:dyDescent="0.3">
      <c r="A23" s="71"/>
      <c r="B23" s="28"/>
      <c r="C23" s="29"/>
      <c r="D23" s="29"/>
      <c r="E23" s="29"/>
      <c r="F23" s="28"/>
      <c r="G23" s="30">
        <v>2</v>
      </c>
      <c r="H23" s="30">
        <f t="shared" si="5"/>
        <v>22</v>
      </c>
      <c r="I23" s="31"/>
      <c r="J23" s="31"/>
      <c r="K23" s="31"/>
      <c r="L23" s="31"/>
      <c r="M23" s="31"/>
      <c r="N23" s="31" t="s">
        <v>11</v>
      </c>
      <c r="O23" s="31"/>
      <c r="P23" s="31"/>
      <c r="Q23" s="31"/>
      <c r="R23" s="31" t="s">
        <v>17</v>
      </c>
      <c r="S23" s="31"/>
      <c r="T23" s="30"/>
      <c r="U23" s="31"/>
      <c r="V23" s="72" t="s">
        <v>0</v>
      </c>
      <c r="W23" s="1"/>
      <c r="X23" s="1"/>
      <c r="Y23" s="1"/>
      <c r="Z23" s="1"/>
      <c r="AA23" s="1"/>
      <c r="AB23" s="1"/>
      <c r="AC23" s="1"/>
      <c r="AD23" s="1"/>
      <c r="AE23" s="1"/>
    </row>
    <row r="24" spans="1:38" ht="15" customHeight="1" x14ac:dyDescent="0.3">
      <c r="A24" s="71"/>
      <c r="B24" s="28"/>
      <c r="C24" s="29"/>
      <c r="D24" s="29"/>
      <c r="E24" s="29"/>
      <c r="F24" s="28"/>
      <c r="G24" s="30">
        <v>2</v>
      </c>
      <c r="H24" s="30">
        <f t="shared" si="5"/>
        <v>24</v>
      </c>
      <c r="I24" s="31"/>
      <c r="J24" s="31"/>
      <c r="K24" s="31"/>
      <c r="L24" s="31"/>
      <c r="M24" s="31"/>
      <c r="N24" s="31"/>
      <c r="O24" s="31"/>
      <c r="P24" s="31"/>
      <c r="Q24" s="31"/>
      <c r="R24" s="31" t="s">
        <v>11</v>
      </c>
      <c r="S24" s="31"/>
      <c r="T24" s="30"/>
      <c r="U24" s="31"/>
      <c r="V24" s="72" t="s">
        <v>0</v>
      </c>
      <c r="W24" s="1"/>
      <c r="X24" s="1"/>
      <c r="Y24" s="1"/>
      <c r="Z24" s="1"/>
      <c r="AA24" s="1"/>
      <c r="AB24" s="1"/>
      <c r="AC24" s="1"/>
      <c r="AD24" s="1"/>
      <c r="AE24" s="1"/>
    </row>
    <row r="25" spans="1:38" ht="15" customHeight="1" x14ac:dyDescent="0.3">
      <c r="A25" s="71"/>
      <c r="B25" s="28"/>
      <c r="C25" s="29"/>
      <c r="D25" s="29"/>
      <c r="E25" s="29"/>
      <c r="F25" s="28"/>
      <c r="G25" s="30">
        <v>2</v>
      </c>
      <c r="H25" s="30">
        <f t="shared" si="5"/>
        <v>26</v>
      </c>
      <c r="I25" s="31"/>
      <c r="J25" s="31"/>
      <c r="K25" s="31"/>
      <c r="L25" s="31"/>
      <c r="M25" s="31"/>
      <c r="N25" s="31"/>
      <c r="O25" s="31"/>
      <c r="P25" s="31" t="s">
        <v>17</v>
      </c>
      <c r="Q25" s="31" t="s">
        <v>17</v>
      </c>
      <c r="R25" s="31"/>
      <c r="S25" s="31"/>
      <c r="T25" s="30"/>
      <c r="U25" s="31"/>
      <c r="V25" s="72" t="s">
        <v>0</v>
      </c>
      <c r="W25" s="1"/>
      <c r="X25" s="1"/>
      <c r="Y25" s="1"/>
      <c r="Z25" s="1"/>
      <c r="AA25" s="1"/>
      <c r="AB25" s="1"/>
      <c r="AC25" s="1"/>
      <c r="AD25" s="1"/>
      <c r="AE25" s="1"/>
    </row>
    <row r="26" spans="1:38" ht="15" customHeight="1" x14ac:dyDescent="0.3">
      <c r="A26" s="71"/>
      <c r="B26" s="28"/>
      <c r="C26" s="29"/>
      <c r="D26" s="29"/>
      <c r="E26" s="29"/>
      <c r="F26" s="28"/>
      <c r="G26" s="30">
        <v>7</v>
      </c>
      <c r="H26" s="30">
        <f t="shared" si="5"/>
        <v>33</v>
      </c>
      <c r="I26" s="31"/>
      <c r="J26" s="31"/>
      <c r="K26" s="31"/>
      <c r="L26" s="31"/>
      <c r="M26" s="31"/>
      <c r="N26" s="31"/>
      <c r="O26" s="31" t="s">
        <v>17</v>
      </c>
      <c r="P26" s="31" t="s">
        <v>17</v>
      </c>
      <c r="Q26" s="31" t="s">
        <v>17</v>
      </c>
      <c r="R26" s="31"/>
      <c r="S26" s="31" t="s">
        <v>118</v>
      </c>
      <c r="T26" s="30" t="s">
        <v>43</v>
      </c>
      <c r="U26" s="31" t="s">
        <v>119</v>
      </c>
      <c r="V26" s="72" t="s">
        <v>120</v>
      </c>
      <c r="W26" s="1"/>
      <c r="X26" s="1"/>
      <c r="Y26" s="1"/>
      <c r="Z26" s="1"/>
      <c r="AA26" s="1"/>
      <c r="AB26" s="1"/>
      <c r="AC26" s="1"/>
      <c r="AD26" s="1"/>
      <c r="AE26" s="1"/>
    </row>
    <row r="27" spans="1:38" ht="15" customHeight="1" x14ac:dyDescent="0.3">
      <c r="A27" s="71"/>
      <c r="B27" s="28"/>
      <c r="C27" s="29"/>
      <c r="D27" s="29"/>
      <c r="E27" s="29"/>
      <c r="F27" s="28"/>
      <c r="G27" s="30">
        <v>2</v>
      </c>
      <c r="H27" s="30">
        <f t="shared" si="5"/>
        <v>35</v>
      </c>
      <c r="I27" s="31"/>
      <c r="J27" s="31"/>
      <c r="K27" s="31"/>
      <c r="L27" s="31"/>
      <c r="M27" s="31"/>
      <c r="N27" s="31"/>
      <c r="O27" s="31" t="s">
        <v>11</v>
      </c>
      <c r="P27" s="31" t="s">
        <v>17</v>
      </c>
      <c r="Q27" s="31" t="s">
        <v>17</v>
      </c>
      <c r="R27" s="31"/>
      <c r="S27" s="31"/>
      <c r="T27" s="30"/>
      <c r="U27" s="31"/>
      <c r="V27" s="72" t="s">
        <v>0</v>
      </c>
      <c r="W27" s="1"/>
      <c r="X27" s="1"/>
      <c r="Y27" s="1"/>
      <c r="Z27" s="1"/>
      <c r="AA27" s="1"/>
      <c r="AB27" s="1"/>
      <c r="AC27" s="1"/>
      <c r="AD27" s="1"/>
      <c r="AE27" s="1"/>
    </row>
    <row r="28" spans="1:38" ht="15" customHeight="1" thickBot="1" x14ac:dyDescent="0.35">
      <c r="A28" s="71"/>
      <c r="B28" s="28"/>
      <c r="C28" s="29"/>
      <c r="D28" s="29"/>
      <c r="E28" s="29"/>
      <c r="F28" s="28"/>
      <c r="G28" s="30">
        <v>2</v>
      </c>
      <c r="H28" s="30">
        <f t="shared" si="5"/>
        <v>37</v>
      </c>
      <c r="I28" s="31"/>
      <c r="J28" s="31"/>
      <c r="K28" s="31"/>
      <c r="L28" s="31"/>
      <c r="M28" s="31"/>
      <c r="N28" s="31"/>
      <c r="O28" s="31"/>
      <c r="P28" s="31" t="s">
        <v>11</v>
      </c>
      <c r="Q28" s="31" t="s">
        <v>98</v>
      </c>
      <c r="R28" s="31"/>
      <c r="S28" s="31"/>
      <c r="T28" s="30"/>
      <c r="U28" s="33"/>
      <c r="V28" s="72" t="s">
        <v>0</v>
      </c>
      <c r="W28" s="1">
        <f>SUM($G$21:$G$28)*2</f>
        <v>74</v>
      </c>
      <c r="X28" s="1"/>
      <c r="Y28" s="1">
        <f>SUM($G$21:$G$28)*10</f>
        <v>370</v>
      </c>
      <c r="Z28" s="1"/>
      <c r="AA28" s="1">
        <f>SUM($G$21:$G$28)*60</f>
        <v>2220</v>
      </c>
      <c r="AB28" s="1"/>
      <c r="AC28" s="1"/>
      <c r="AD28" s="1"/>
      <c r="AE28" s="1"/>
    </row>
    <row r="29" spans="1:38" s="19" customFormat="1" ht="15" customHeight="1" thickTop="1" thickBot="1" x14ac:dyDescent="0.35">
      <c r="A29" s="111" t="s">
        <v>188</v>
      </c>
      <c r="B29" s="36" t="s">
        <v>189</v>
      </c>
      <c r="C29" s="37">
        <v>1</v>
      </c>
      <c r="D29" s="37" t="s">
        <v>0</v>
      </c>
      <c r="E29" s="37">
        <v>7</v>
      </c>
      <c r="F29" s="36" t="s">
        <v>183</v>
      </c>
      <c r="G29" s="37" t="s">
        <v>29</v>
      </c>
      <c r="H29" s="37" t="s">
        <v>29</v>
      </c>
      <c r="I29" s="36"/>
      <c r="J29" s="36" t="s">
        <v>17</v>
      </c>
      <c r="K29" s="36"/>
      <c r="L29" s="36"/>
      <c r="M29" s="36"/>
      <c r="N29" s="36"/>
      <c r="O29" s="36" t="s">
        <v>17</v>
      </c>
      <c r="P29" s="36" t="s">
        <v>17</v>
      </c>
      <c r="Q29" s="36"/>
      <c r="R29" s="36"/>
      <c r="S29" s="36"/>
      <c r="T29" s="37"/>
      <c r="U29" s="36" t="s">
        <v>109</v>
      </c>
      <c r="V29" s="77"/>
      <c r="W29" s="1"/>
      <c r="X29" s="1"/>
      <c r="Y29" s="1"/>
      <c r="Z29" s="1"/>
      <c r="AA29" s="1"/>
      <c r="AB29" s="1"/>
      <c r="AC29" s="1"/>
      <c r="AD29" s="1"/>
      <c r="AE29" s="1"/>
    </row>
    <row r="30" spans="1:38" ht="27" thickTop="1" thickBot="1" x14ac:dyDescent="0.35">
      <c r="A30" s="112" t="s">
        <v>190</v>
      </c>
      <c r="B30" s="113" t="s">
        <v>191</v>
      </c>
      <c r="C30" s="37">
        <v>1</v>
      </c>
      <c r="D30" s="37" t="s">
        <v>0</v>
      </c>
      <c r="E30" s="37">
        <v>7</v>
      </c>
      <c r="F30" s="36" t="s">
        <v>192</v>
      </c>
      <c r="G30" s="37" t="s">
        <v>29</v>
      </c>
      <c r="H30" s="37" t="s">
        <v>29</v>
      </c>
      <c r="I30" s="36"/>
      <c r="J30" s="36" t="s">
        <v>17</v>
      </c>
      <c r="K30" s="36"/>
      <c r="L30" s="36"/>
      <c r="M30" s="36"/>
      <c r="N30" s="36"/>
      <c r="O30" s="36" t="s">
        <v>17</v>
      </c>
      <c r="P30" s="36" t="s">
        <v>17</v>
      </c>
      <c r="Q30" s="36"/>
      <c r="R30" s="36"/>
      <c r="S30" s="36"/>
      <c r="T30" s="37"/>
      <c r="U30" s="36" t="s">
        <v>193</v>
      </c>
      <c r="V30" s="77"/>
      <c r="W30" s="1"/>
      <c r="X30" s="1"/>
      <c r="Y30" s="1"/>
      <c r="Z30" s="1"/>
      <c r="AA30" s="1"/>
      <c r="AB30" s="1"/>
      <c r="AC30" s="1"/>
      <c r="AD30" s="1"/>
      <c r="AE30" s="1"/>
    </row>
    <row r="31" spans="1:38" ht="15" customHeight="1" thickTop="1" thickBot="1" x14ac:dyDescent="0.35">
      <c r="A31" s="110">
        <v>7</v>
      </c>
      <c r="B31" s="48" t="s">
        <v>182</v>
      </c>
      <c r="C31" s="47">
        <v>1</v>
      </c>
      <c r="D31" s="47"/>
      <c r="E31" s="47"/>
      <c r="F31" s="48" t="s">
        <v>185</v>
      </c>
      <c r="G31" s="47">
        <v>2</v>
      </c>
      <c r="H31" s="47">
        <f t="shared" ref="H31:H32" si="6">G31</f>
        <v>2</v>
      </c>
      <c r="I31" s="48"/>
      <c r="J31" s="48" t="s">
        <v>17</v>
      </c>
      <c r="K31" s="48"/>
      <c r="L31" s="48"/>
      <c r="M31" s="48"/>
      <c r="N31" s="48"/>
      <c r="O31" s="48" t="s">
        <v>186</v>
      </c>
      <c r="P31" s="48" t="s">
        <v>186</v>
      </c>
      <c r="Q31" s="48"/>
      <c r="R31" s="48"/>
      <c r="S31" s="48"/>
      <c r="T31" s="47"/>
      <c r="U31" s="48" t="s">
        <v>187</v>
      </c>
      <c r="V31" s="89"/>
      <c r="W31" s="1">
        <f>SUM(G31)</f>
        <v>2</v>
      </c>
      <c r="X31" s="1"/>
      <c r="Y31" s="1">
        <f>SUM(G31)</f>
        <v>2</v>
      </c>
      <c r="Z31" s="1"/>
      <c r="AA31" s="1">
        <f>SUM(G31)</f>
        <v>2</v>
      </c>
      <c r="AB31" s="1"/>
      <c r="AC31" s="1"/>
      <c r="AD31" s="1"/>
      <c r="AE31" s="1"/>
    </row>
    <row r="32" spans="1:38" ht="15" customHeight="1" thickTop="1" x14ac:dyDescent="0.3">
      <c r="A32" s="69">
        <v>9</v>
      </c>
      <c r="B32" s="23" t="s">
        <v>46</v>
      </c>
      <c r="C32" s="25">
        <v>1</v>
      </c>
      <c r="D32" s="25">
        <v>9</v>
      </c>
      <c r="E32" s="25" t="s">
        <v>0</v>
      </c>
      <c r="F32" s="23" t="s">
        <v>47</v>
      </c>
      <c r="G32" s="38">
        <v>7</v>
      </c>
      <c r="H32" s="38">
        <f t="shared" si="6"/>
        <v>7</v>
      </c>
      <c r="I32" s="39"/>
      <c r="J32" s="39" t="s">
        <v>17</v>
      </c>
      <c r="K32" s="39"/>
      <c r="L32" s="39"/>
      <c r="M32" s="39"/>
      <c r="N32" s="39"/>
      <c r="O32" s="39"/>
      <c r="P32" s="39"/>
      <c r="Q32" s="39"/>
      <c r="R32" s="39" t="s">
        <v>17</v>
      </c>
      <c r="S32" s="27" t="s">
        <v>33</v>
      </c>
      <c r="T32" s="26" t="s">
        <v>1</v>
      </c>
      <c r="U32" s="27" t="s">
        <v>34</v>
      </c>
      <c r="V32" s="70" t="s">
        <v>42</v>
      </c>
      <c r="W32" s="1"/>
      <c r="X32" s="1"/>
      <c r="Y32" s="1"/>
      <c r="Z32" s="1"/>
      <c r="AA32" s="1"/>
      <c r="AB32" s="1"/>
      <c r="AC32" s="1"/>
      <c r="AD32" s="1"/>
      <c r="AE32" s="1"/>
    </row>
    <row r="33" spans="1:31" ht="15" customHeight="1" x14ac:dyDescent="0.3">
      <c r="A33" s="71"/>
      <c r="B33" s="28"/>
      <c r="C33" s="29"/>
      <c r="D33" s="29"/>
      <c r="E33" s="29"/>
      <c r="F33" s="28"/>
      <c r="G33" s="30">
        <v>13</v>
      </c>
      <c r="H33" s="30">
        <f t="shared" ref="H33:H41" si="7">G33+H32</f>
        <v>20</v>
      </c>
      <c r="I33" s="31"/>
      <c r="J33" s="31" t="s">
        <v>17</v>
      </c>
      <c r="K33" s="31"/>
      <c r="L33" s="31"/>
      <c r="M33" s="31"/>
      <c r="N33" s="31" t="s">
        <v>17</v>
      </c>
      <c r="O33" s="31"/>
      <c r="P33" s="31"/>
      <c r="Q33" s="31"/>
      <c r="R33" s="31" t="s">
        <v>17</v>
      </c>
      <c r="S33" s="31" t="s">
        <v>3</v>
      </c>
      <c r="T33" s="30" t="s">
        <v>1</v>
      </c>
      <c r="U33" s="31" t="s">
        <v>91</v>
      </c>
      <c r="V33" s="72" t="s">
        <v>122</v>
      </c>
      <c r="W33" s="1"/>
      <c r="X33" s="1"/>
      <c r="Y33" s="1"/>
      <c r="Z33" s="1"/>
      <c r="AA33" s="1"/>
      <c r="AB33" s="1"/>
      <c r="AC33" s="1"/>
      <c r="AD33" s="1"/>
      <c r="AE33" s="1"/>
    </row>
    <row r="34" spans="1:31" ht="15" customHeight="1" x14ac:dyDescent="0.3">
      <c r="A34" s="71"/>
      <c r="B34" s="28"/>
      <c r="C34" s="29"/>
      <c r="D34" s="29"/>
      <c r="E34" s="29"/>
      <c r="F34" s="28"/>
      <c r="G34" s="30">
        <v>2</v>
      </c>
      <c r="H34" s="30">
        <f t="shared" si="7"/>
        <v>22</v>
      </c>
      <c r="I34" s="31"/>
      <c r="J34" s="31" t="s">
        <v>17</v>
      </c>
      <c r="K34" s="31"/>
      <c r="L34" s="31"/>
      <c r="M34" s="31"/>
      <c r="N34" s="31" t="s">
        <v>11</v>
      </c>
      <c r="O34" s="31"/>
      <c r="P34" s="31"/>
      <c r="Q34" s="31"/>
      <c r="R34" s="31" t="s">
        <v>17</v>
      </c>
      <c r="S34" s="31"/>
      <c r="T34" s="30"/>
      <c r="U34" s="31"/>
      <c r="V34" s="72" t="s">
        <v>0</v>
      </c>
      <c r="W34" s="1"/>
      <c r="X34" s="1"/>
      <c r="Y34" s="1"/>
      <c r="Z34" s="1"/>
      <c r="AA34" s="1"/>
      <c r="AB34" s="1"/>
      <c r="AC34" s="1"/>
      <c r="AD34" s="1"/>
      <c r="AE34" s="1"/>
    </row>
    <row r="35" spans="1:31" ht="15" customHeight="1" x14ac:dyDescent="0.3">
      <c r="A35" s="71"/>
      <c r="B35" s="28"/>
      <c r="C35" s="29"/>
      <c r="D35" s="29"/>
      <c r="E35" s="29"/>
      <c r="F35" s="28"/>
      <c r="G35" s="30">
        <v>2</v>
      </c>
      <c r="H35" s="30">
        <f t="shared" si="7"/>
        <v>24</v>
      </c>
      <c r="I35" s="31"/>
      <c r="J35" s="31" t="s">
        <v>17</v>
      </c>
      <c r="K35" s="31"/>
      <c r="L35" s="31"/>
      <c r="M35" s="31"/>
      <c r="N35" s="31"/>
      <c r="O35" s="31"/>
      <c r="P35" s="31"/>
      <c r="Q35" s="31"/>
      <c r="R35" s="31" t="s">
        <v>11</v>
      </c>
      <c r="S35" s="31"/>
      <c r="T35" s="30"/>
      <c r="U35" s="31"/>
      <c r="V35" s="72" t="s">
        <v>0</v>
      </c>
      <c r="W35" s="1"/>
      <c r="X35" s="1"/>
      <c r="Y35" s="1"/>
      <c r="Z35" s="1"/>
      <c r="AA35" s="1"/>
      <c r="AB35" s="1"/>
      <c r="AC35" s="1"/>
      <c r="AD35" s="1"/>
      <c r="AE35" s="1"/>
    </row>
    <row r="36" spans="1:31" ht="15" customHeight="1" x14ac:dyDescent="0.3">
      <c r="A36" s="71"/>
      <c r="B36" s="28"/>
      <c r="C36" s="29"/>
      <c r="D36" s="29"/>
      <c r="E36" s="29"/>
      <c r="F36" s="28"/>
      <c r="G36" s="30">
        <v>2</v>
      </c>
      <c r="H36" s="30">
        <f t="shared" si="7"/>
        <v>26</v>
      </c>
      <c r="I36" s="31"/>
      <c r="J36" s="31" t="s">
        <v>17</v>
      </c>
      <c r="K36" s="31"/>
      <c r="L36" s="31"/>
      <c r="M36" s="31"/>
      <c r="N36" s="31"/>
      <c r="O36" s="31"/>
      <c r="P36" s="31" t="s">
        <v>17</v>
      </c>
      <c r="Q36" s="31" t="s">
        <v>17</v>
      </c>
      <c r="R36" s="31"/>
      <c r="S36" s="31"/>
      <c r="T36" s="30"/>
      <c r="U36" s="31"/>
      <c r="V36" s="72" t="s">
        <v>0</v>
      </c>
      <c r="W36" s="1"/>
      <c r="X36" s="1"/>
      <c r="Y36" s="1"/>
      <c r="Z36" s="1"/>
      <c r="AA36" s="1"/>
      <c r="AB36" s="1"/>
      <c r="AC36" s="1"/>
      <c r="AD36" s="1"/>
      <c r="AE36" s="1"/>
    </row>
    <row r="37" spans="1:31" ht="15" customHeight="1" x14ac:dyDescent="0.3">
      <c r="A37" s="71"/>
      <c r="B37" s="28"/>
      <c r="C37" s="29"/>
      <c r="D37" s="29"/>
      <c r="E37" s="29"/>
      <c r="F37" s="28"/>
      <c r="G37" s="30">
        <v>7</v>
      </c>
      <c r="H37" s="30">
        <f t="shared" si="7"/>
        <v>33</v>
      </c>
      <c r="I37" s="31"/>
      <c r="J37" s="31" t="s">
        <v>17</v>
      </c>
      <c r="K37" s="31"/>
      <c r="L37" s="31"/>
      <c r="M37" s="31"/>
      <c r="N37" s="31"/>
      <c r="O37" s="31" t="s">
        <v>17</v>
      </c>
      <c r="P37" s="31" t="s">
        <v>17</v>
      </c>
      <c r="Q37" s="31" t="s">
        <v>17</v>
      </c>
      <c r="R37" s="31"/>
      <c r="S37" s="31" t="s">
        <v>118</v>
      </c>
      <c r="T37" s="30" t="s">
        <v>43</v>
      </c>
      <c r="U37" s="31" t="s">
        <v>119</v>
      </c>
      <c r="V37" s="72" t="s">
        <v>120</v>
      </c>
      <c r="W37" s="1"/>
      <c r="X37" s="1"/>
      <c r="Y37" s="1"/>
      <c r="Z37" s="1"/>
      <c r="AA37" s="1"/>
      <c r="AB37" s="1"/>
      <c r="AC37" s="1"/>
      <c r="AD37" s="1"/>
      <c r="AE37" s="1"/>
    </row>
    <row r="38" spans="1:31" ht="15" customHeight="1" x14ac:dyDescent="0.3">
      <c r="A38" s="71"/>
      <c r="B38" s="28"/>
      <c r="C38" s="29"/>
      <c r="D38" s="29"/>
      <c r="E38" s="29"/>
      <c r="F38" s="28"/>
      <c r="G38" s="30">
        <v>2</v>
      </c>
      <c r="H38" s="30">
        <f t="shared" si="7"/>
        <v>35</v>
      </c>
      <c r="I38" s="31"/>
      <c r="J38" s="31" t="s">
        <v>17</v>
      </c>
      <c r="K38" s="31"/>
      <c r="L38" s="31"/>
      <c r="M38" s="31"/>
      <c r="N38" s="31"/>
      <c r="O38" s="31" t="s">
        <v>11</v>
      </c>
      <c r="P38" s="31" t="s">
        <v>17</v>
      </c>
      <c r="Q38" s="31" t="s">
        <v>17</v>
      </c>
      <c r="R38" s="31"/>
      <c r="S38" s="31"/>
      <c r="T38" s="30"/>
      <c r="U38" s="31"/>
      <c r="V38" s="72" t="s">
        <v>0</v>
      </c>
      <c r="W38" s="1"/>
      <c r="X38" s="1"/>
      <c r="Y38" s="1"/>
      <c r="Z38" s="1"/>
      <c r="AA38" s="1"/>
      <c r="AB38" s="1"/>
      <c r="AC38" s="1"/>
      <c r="AD38" s="1"/>
      <c r="AE38" s="1"/>
    </row>
    <row r="39" spans="1:31" ht="15" customHeight="1" x14ac:dyDescent="0.3">
      <c r="A39" s="71"/>
      <c r="B39" s="28"/>
      <c r="C39" s="29"/>
      <c r="D39" s="29"/>
      <c r="E39" s="29"/>
      <c r="F39" s="28"/>
      <c r="G39" s="30">
        <v>2</v>
      </c>
      <c r="H39" s="30">
        <f t="shared" si="7"/>
        <v>37</v>
      </c>
      <c r="I39" s="31"/>
      <c r="J39" s="31" t="s">
        <v>17</v>
      </c>
      <c r="K39" s="31"/>
      <c r="L39" s="31"/>
      <c r="M39" s="31"/>
      <c r="N39" s="31"/>
      <c r="O39" s="31"/>
      <c r="P39" s="31" t="s">
        <v>11</v>
      </c>
      <c r="Q39" s="31" t="s">
        <v>11</v>
      </c>
      <c r="R39" s="31"/>
      <c r="S39" s="31"/>
      <c r="T39" s="30"/>
      <c r="U39" s="31"/>
      <c r="V39" s="72" t="s">
        <v>0</v>
      </c>
      <c r="W39" s="1"/>
      <c r="X39" s="1"/>
      <c r="Y39" s="1"/>
      <c r="Z39" s="1"/>
      <c r="AA39" s="1"/>
      <c r="AB39" s="1"/>
      <c r="AC39" s="1"/>
      <c r="AD39" s="1"/>
      <c r="AE39" s="1"/>
    </row>
    <row r="40" spans="1:31" ht="15" customHeight="1" x14ac:dyDescent="0.3">
      <c r="A40" s="71"/>
      <c r="B40" s="28"/>
      <c r="C40" s="29"/>
      <c r="D40" s="29"/>
      <c r="E40" s="29"/>
      <c r="F40" s="28" t="s">
        <v>126</v>
      </c>
      <c r="G40" s="30">
        <v>60</v>
      </c>
      <c r="H40" s="30">
        <f t="shared" si="7"/>
        <v>97</v>
      </c>
      <c r="I40" s="31" t="s">
        <v>0</v>
      </c>
      <c r="J40" s="31" t="s">
        <v>17</v>
      </c>
      <c r="K40" s="31" t="s">
        <v>0</v>
      </c>
      <c r="L40" s="31" t="s">
        <v>0</v>
      </c>
      <c r="M40" s="31" t="s">
        <v>0</v>
      </c>
      <c r="N40" s="31" t="s">
        <v>0</v>
      </c>
      <c r="O40" s="31" t="s">
        <v>0</v>
      </c>
      <c r="P40" s="31" t="s">
        <v>0</v>
      </c>
      <c r="Q40" s="31" t="s">
        <v>0</v>
      </c>
      <c r="R40" s="31" t="s">
        <v>0</v>
      </c>
      <c r="S40" s="31" t="s">
        <v>3</v>
      </c>
      <c r="T40" s="30" t="s">
        <v>43</v>
      </c>
      <c r="U40" s="31" t="s">
        <v>124</v>
      </c>
      <c r="V40" s="72" t="s">
        <v>121</v>
      </c>
      <c r="W40" s="1">
        <f>SUM($G$32:$G$40)*2</f>
        <v>194</v>
      </c>
      <c r="X40" s="1"/>
      <c r="Y40" s="1">
        <f>SUM($G$32:$G$40)*10</f>
        <v>970</v>
      </c>
      <c r="Z40" s="1"/>
      <c r="AA40" s="1">
        <f>SUM($G$32:$G$40)*60</f>
        <v>5820</v>
      </c>
      <c r="AB40" s="1"/>
      <c r="AC40" s="1"/>
      <c r="AD40" s="1"/>
      <c r="AE40" s="1"/>
    </row>
    <row r="41" spans="1:31" ht="15" customHeight="1" thickBot="1" x14ac:dyDescent="0.35">
      <c r="A41" s="74"/>
      <c r="B41" s="34"/>
      <c r="C41" s="35"/>
      <c r="D41" s="35"/>
      <c r="E41" s="35"/>
      <c r="F41" s="28" t="s">
        <v>127</v>
      </c>
      <c r="G41" s="22">
        <v>60</v>
      </c>
      <c r="H41" s="30">
        <f t="shared" si="7"/>
        <v>157</v>
      </c>
      <c r="I41" s="21" t="s">
        <v>0</v>
      </c>
      <c r="J41" s="21" t="s">
        <v>17</v>
      </c>
      <c r="K41" s="21" t="s">
        <v>0</v>
      </c>
      <c r="L41" s="21" t="s">
        <v>0</v>
      </c>
      <c r="M41" s="21" t="s">
        <v>0</v>
      </c>
      <c r="N41" s="21" t="s">
        <v>0</v>
      </c>
      <c r="O41" s="21" t="s">
        <v>0</v>
      </c>
      <c r="P41" s="21" t="s">
        <v>0</v>
      </c>
      <c r="Q41" s="21" t="s">
        <v>0</v>
      </c>
      <c r="R41" s="21" t="s">
        <v>0</v>
      </c>
      <c r="S41" s="21" t="s">
        <v>3</v>
      </c>
      <c r="T41" s="22" t="s">
        <v>43</v>
      </c>
      <c r="U41" s="31" t="s">
        <v>125</v>
      </c>
      <c r="V41" s="72" t="s">
        <v>123</v>
      </c>
      <c r="W41" s="1">
        <v>600</v>
      </c>
      <c r="X41" s="1"/>
      <c r="Y41" s="1">
        <v>600</v>
      </c>
      <c r="Z41" s="1"/>
      <c r="AA41" s="1">
        <v>600</v>
      </c>
      <c r="AB41" s="1"/>
      <c r="AC41" s="1"/>
      <c r="AD41" s="1"/>
      <c r="AE41" s="1"/>
    </row>
    <row r="42" spans="1:31" ht="15" customHeight="1" thickTop="1" thickBot="1" x14ac:dyDescent="0.35">
      <c r="A42" s="76">
        <v>10</v>
      </c>
      <c r="B42" s="36" t="s">
        <v>51</v>
      </c>
      <c r="C42" s="37">
        <v>1</v>
      </c>
      <c r="D42" s="35" t="s">
        <v>0</v>
      </c>
      <c r="E42" s="37">
        <v>11</v>
      </c>
      <c r="F42" s="36" t="s">
        <v>128</v>
      </c>
      <c r="G42" s="37" t="s">
        <v>29</v>
      </c>
      <c r="H42" s="37" t="s">
        <v>29</v>
      </c>
      <c r="I42" s="36"/>
      <c r="J42" s="36" t="s">
        <v>17</v>
      </c>
      <c r="K42" s="36"/>
      <c r="L42" s="36"/>
      <c r="M42" s="36"/>
      <c r="N42" s="36"/>
      <c r="O42" s="36" t="s">
        <v>17</v>
      </c>
      <c r="P42" s="36" t="s">
        <v>17</v>
      </c>
      <c r="Q42" s="36" t="s">
        <v>17</v>
      </c>
      <c r="R42" s="36"/>
      <c r="S42" s="36"/>
      <c r="T42" s="37"/>
      <c r="U42" s="36" t="s">
        <v>109</v>
      </c>
      <c r="V42" s="77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" customHeight="1" thickTop="1" thickBot="1" x14ac:dyDescent="0.35">
      <c r="A43" s="74">
        <v>11</v>
      </c>
      <c r="B43" s="34" t="s">
        <v>51</v>
      </c>
      <c r="C43" s="35">
        <v>1</v>
      </c>
      <c r="D43" s="35" t="s">
        <v>0</v>
      </c>
      <c r="E43" s="35" t="s">
        <v>0</v>
      </c>
      <c r="F43" s="34" t="s">
        <v>52</v>
      </c>
      <c r="G43" s="35">
        <v>2</v>
      </c>
      <c r="H43" s="35">
        <f>G43</f>
        <v>2</v>
      </c>
      <c r="I43" s="34"/>
      <c r="J43" s="34" t="s">
        <v>11</v>
      </c>
      <c r="K43" s="34"/>
      <c r="L43" s="34"/>
      <c r="M43" s="34"/>
      <c r="N43" s="34"/>
      <c r="O43" s="34" t="s">
        <v>11</v>
      </c>
      <c r="P43" s="34" t="s">
        <v>11</v>
      </c>
      <c r="Q43" s="34" t="s">
        <v>11</v>
      </c>
      <c r="R43" s="34"/>
      <c r="S43" s="34"/>
      <c r="T43" s="35"/>
      <c r="U43" s="34"/>
      <c r="V43" s="79"/>
      <c r="W43" s="1">
        <f t="shared" ref="W43" si="8">SUM(G43)</f>
        <v>2</v>
      </c>
      <c r="X43" s="1"/>
      <c r="Y43" s="1">
        <f t="shared" ref="Y43" si="9">SUM(G43)</f>
        <v>2</v>
      </c>
      <c r="Z43" s="1"/>
      <c r="AA43" s="1">
        <f t="shared" ref="AA43" si="10">SUM(G43)</f>
        <v>2</v>
      </c>
      <c r="AB43" s="1"/>
      <c r="AC43" s="1"/>
      <c r="AD43" s="1"/>
      <c r="AE43" s="1"/>
    </row>
    <row r="44" spans="1:31" ht="15" customHeight="1" thickTop="1" x14ac:dyDescent="0.3">
      <c r="A44" s="69">
        <v>12</v>
      </c>
      <c r="B44" s="23" t="s">
        <v>53</v>
      </c>
      <c r="C44" s="24" t="s">
        <v>100</v>
      </c>
      <c r="D44" s="25">
        <v>12</v>
      </c>
      <c r="E44" s="25" t="s">
        <v>0</v>
      </c>
      <c r="F44" s="28" t="s">
        <v>96</v>
      </c>
      <c r="G44" s="26">
        <v>7</v>
      </c>
      <c r="H44" s="26">
        <v>7</v>
      </c>
      <c r="I44" s="27"/>
      <c r="J44" s="27"/>
      <c r="K44" s="27"/>
      <c r="L44" s="27"/>
      <c r="M44" s="27"/>
      <c r="N44" s="27"/>
      <c r="O44" s="27"/>
      <c r="P44" s="27"/>
      <c r="Q44" s="27"/>
      <c r="R44" s="27" t="s">
        <v>17</v>
      </c>
      <c r="S44" s="41" t="s">
        <v>33</v>
      </c>
      <c r="T44" s="42" t="s">
        <v>93</v>
      </c>
      <c r="U44" s="43" t="s">
        <v>94</v>
      </c>
      <c r="V44" s="41" t="s">
        <v>35</v>
      </c>
      <c r="W44" s="1"/>
      <c r="X44" s="1"/>
      <c r="Y44" s="1"/>
      <c r="Z44" s="1"/>
      <c r="AA44" s="1"/>
      <c r="AB44" s="1"/>
      <c r="AC44" s="1"/>
      <c r="AD44" s="1"/>
      <c r="AE44" s="1"/>
    </row>
    <row r="45" spans="1:31" ht="15" customHeight="1" x14ac:dyDescent="0.3">
      <c r="A45" s="71"/>
      <c r="B45" s="28"/>
      <c r="C45" s="29"/>
      <c r="D45" s="29"/>
      <c r="E45" s="29"/>
      <c r="F45" s="28" t="s">
        <v>97</v>
      </c>
      <c r="G45" s="26">
        <v>2</v>
      </c>
      <c r="H45" s="26">
        <f t="shared" ref="H45:H56" si="11">G45+H44</f>
        <v>9</v>
      </c>
      <c r="I45" s="27"/>
      <c r="J45" s="27"/>
      <c r="K45" s="27"/>
      <c r="L45" s="27"/>
      <c r="M45" s="27" t="s">
        <v>17</v>
      </c>
      <c r="N45" s="27"/>
      <c r="O45" s="27"/>
      <c r="P45" s="27"/>
      <c r="Q45" s="27"/>
      <c r="R45" s="27" t="s">
        <v>17</v>
      </c>
      <c r="S45" s="27"/>
      <c r="T45" s="26"/>
      <c r="U45" s="31"/>
      <c r="V45" s="72"/>
      <c r="W45" s="1"/>
      <c r="X45" s="1"/>
      <c r="Y45" s="1"/>
      <c r="Z45" s="1"/>
      <c r="AA45" s="1"/>
      <c r="AB45" s="1"/>
      <c r="AC45" s="1"/>
      <c r="AD45" s="1"/>
      <c r="AE45" s="1"/>
    </row>
    <row r="46" spans="1:31" s="19" customFormat="1" ht="15" customHeight="1" x14ac:dyDescent="0.3">
      <c r="A46" s="71"/>
      <c r="B46" s="28"/>
      <c r="C46" s="29"/>
      <c r="D46" s="29"/>
      <c r="E46" s="29"/>
      <c r="F46" s="28"/>
      <c r="G46" s="26">
        <v>180</v>
      </c>
      <c r="H46" s="26">
        <f t="shared" si="11"/>
        <v>189</v>
      </c>
      <c r="I46" s="27"/>
      <c r="J46" s="27"/>
      <c r="K46" s="27"/>
      <c r="L46" s="27" t="s">
        <v>17</v>
      </c>
      <c r="M46" s="27" t="s">
        <v>17</v>
      </c>
      <c r="N46" s="27"/>
      <c r="O46" s="27"/>
      <c r="P46" s="27"/>
      <c r="Q46" s="27"/>
      <c r="R46" s="27" t="s">
        <v>17</v>
      </c>
      <c r="S46" s="27"/>
      <c r="T46" s="26"/>
      <c r="U46" s="27"/>
      <c r="V46" s="70" t="s">
        <v>0</v>
      </c>
      <c r="W46" s="1"/>
      <c r="X46" s="1"/>
      <c r="Y46" s="1"/>
      <c r="Z46" s="1"/>
      <c r="AA46" s="1"/>
      <c r="AB46" s="1"/>
      <c r="AC46" s="1"/>
      <c r="AD46" s="1"/>
      <c r="AE46" s="1"/>
    </row>
    <row r="47" spans="1:31" s="19" customFormat="1" ht="15" customHeight="1" x14ac:dyDescent="0.3">
      <c r="A47" s="71"/>
      <c r="B47" s="28"/>
      <c r="C47" s="29"/>
      <c r="D47" s="29"/>
      <c r="E47" s="29"/>
      <c r="F47" s="28"/>
      <c r="G47" s="26">
        <v>2</v>
      </c>
      <c r="H47" s="26">
        <f t="shared" si="11"/>
        <v>191</v>
      </c>
      <c r="I47" s="27"/>
      <c r="J47" s="27"/>
      <c r="K47" s="27"/>
      <c r="L47" s="27" t="s">
        <v>95</v>
      </c>
      <c r="M47" s="27" t="s">
        <v>17</v>
      </c>
      <c r="N47" s="27"/>
      <c r="O47" s="27"/>
      <c r="P47" s="27"/>
      <c r="Q47" s="27"/>
      <c r="R47" s="27" t="s">
        <v>17</v>
      </c>
      <c r="S47" s="27"/>
      <c r="T47" s="26"/>
      <c r="U47" s="27"/>
      <c r="V47" s="70" t="s">
        <v>0</v>
      </c>
      <c r="W47" s="1"/>
      <c r="X47" s="1"/>
      <c r="Y47" s="1"/>
      <c r="Z47" s="1"/>
      <c r="AA47" s="1"/>
      <c r="AB47" s="1"/>
      <c r="AC47" s="1"/>
      <c r="AD47" s="1"/>
      <c r="AE47" s="1"/>
    </row>
    <row r="48" spans="1:31" ht="15" customHeight="1" x14ac:dyDescent="0.3">
      <c r="A48" s="71"/>
      <c r="B48" s="28"/>
      <c r="C48" s="29"/>
      <c r="D48" s="29"/>
      <c r="E48" s="29"/>
      <c r="F48" s="45"/>
      <c r="G48" s="46">
        <v>2</v>
      </c>
      <c r="H48" s="46">
        <f t="shared" si="11"/>
        <v>193</v>
      </c>
      <c r="I48" s="45"/>
      <c r="J48" s="45"/>
      <c r="K48" s="45"/>
      <c r="L48" s="45"/>
      <c r="M48" s="45" t="s">
        <v>95</v>
      </c>
      <c r="N48" s="45"/>
      <c r="O48" s="45"/>
      <c r="P48" s="45"/>
      <c r="Q48" s="45"/>
      <c r="R48" s="45" t="s">
        <v>17</v>
      </c>
      <c r="S48" s="45"/>
      <c r="T48" s="46"/>
      <c r="U48" s="45"/>
      <c r="V48" s="80" t="s">
        <v>0</v>
      </c>
      <c r="W48" s="1">
        <f>SUM($G$44:$G$48)</f>
        <v>193</v>
      </c>
      <c r="X48" s="1"/>
      <c r="Y48" s="1">
        <f>SUM($G$44:$G$48)</f>
        <v>193</v>
      </c>
      <c r="Z48" s="1"/>
      <c r="AA48" s="1">
        <f>SUM($G$44:$G$48)</f>
        <v>193</v>
      </c>
      <c r="AB48" s="1"/>
      <c r="AC48" s="1"/>
      <c r="AD48" s="1"/>
      <c r="AE48" s="1"/>
    </row>
    <row r="49" spans="1:31" s="19" customFormat="1" ht="15" customHeight="1" x14ac:dyDescent="0.3">
      <c r="A49" s="71"/>
      <c r="B49" s="28"/>
      <c r="C49" s="29"/>
      <c r="D49" s="29"/>
      <c r="E49" s="29"/>
      <c r="F49" s="28" t="s">
        <v>54</v>
      </c>
      <c r="G49" s="26">
        <v>7</v>
      </c>
      <c r="H49" s="26">
        <f t="shared" si="11"/>
        <v>200</v>
      </c>
      <c r="I49" s="27"/>
      <c r="J49" s="27"/>
      <c r="K49" s="27"/>
      <c r="L49" s="27"/>
      <c r="M49" s="27"/>
      <c r="N49" s="27"/>
      <c r="O49" s="27"/>
      <c r="P49" s="27"/>
      <c r="Q49" s="27"/>
      <c r="R49" s="27" t="s">
        <v>17</v>
      </c>
      <c r="S49" s="27" t="s">
        <v>33</v>
      </c>
      <c r="T49" s="26" t="s">
        <v>1</v>
      </c>
      <c r="U49" s="27" t="s">
        <v>34</v>
      </c>
      <c r="V49" s="70" t="s">
        <v>35</v>
      </c>
      <c r="W49" s="1"/>
      <c r="X49" s="1"/>
      <c r="Y49" s="1"/>
      <c r="Z49" s="1"/>
      <c r="AA49" s="1"/>
      <c r="AB49" s="1"/>
      <c r="AC49" s="1"/>
      <c r="AD49" s="1"/>
      <c r="AE49" s="1"/>
    </row>
    <row r="50" spans="1:31" s="19" customFormat="1" ht="15" customHeight="1" x14ac:dyDescent="0.3">
      <c r="A50" s="71"/>
      <c r="B50" s="28"/>
      <c r="C50" s="29"/>
      <c r="D50" s="29"/>
      <c r="E50" s="29"/>
      <c r="F50" s="28"/>
      <c r="G50" s="26">
        <v>13</v>
      </c>
      <c r="H50" s="26">
        <f t="shared" si="11"/>
        <v>213</v>
      </c>
      <c r="I50" s="27"/>
      <c r="J50" s="27"/>
      <c r="K50" s="27"/>
      <c r="L50" s="27"/>
      <c r="M50" s="27"/>
      <c r="N50" s="27" t="s">
        <v>17</v>
      </c>
      <c r="O50" s="27"/>
      <c r="P50" s="27"/>
      <c r="Q50" s="27"/>
      <c r="R50" s="27" t="s">
        <v>17</v>
      </c>
      <c r="S50" s="27" t="s">
        <v>3</v>
      </c>
      <c r="T50" s="26" t="s">
        <v>1</v>
      </c>
      <c r="U50" s="31" t="s">
        <v>111</v>
      </c>
      <c r="V50" s="72" t="s">
        <v>122</v>
      </c>
      <c r="W50" s="1"/>
      <c r="X50" s="1"/>
      <c r="Y50" s="1"/>
      <c r="Z50" s="1"/>
      <c r="AA50" s="1"/>
      <c r="AB50" s="1"/>
      <c r="AC50" s="1"/>
      <c r="AD50" s="1"/>
      <c r="AE50" s="1"/>
    </row>
    <row r="51" spans="1:31" s="19" customFormat="1" ht="15" customHeight="1" x14ac:dyDescent="0.3">
      <c r="A51" s="71"/>
      <c r="B51" s="28"/>
      <c r="C51" s="29"/>
      <c r="D51" s="29"/>
      <c r="E51" s="29"/>
      <c r="F51" s="28"/>
      <c r="G51" s="26">
        <v>2</v>
      </c>
      <c r="H51" s="26">
        <f t="shared" si="11"/>
        <v>215</v>
      </c>
      <c r="I51" s="27"/>
      <c r="J51" s="27"/>
      <c r="K51" s="27"/>
      <c r="L51" s="27"/>
      <c r="M51" s="27"/>
      <c r="N51" s="27" t="s">
        <v>11</v>
      </c>
      <c r="O51" s="27"/>
      <c r="P51" s="27"/>
      <c r="Q51" s="27"/>
      <c r="R51" s="27" t="s">
        <v>17</v>
      </c>
      <c r="S51" s="27"/>
      <c r="T51" s="26"/>
      <c r="U51" s="27"/>
      <c r="V51" s="70" t="s">
        <v>0</v>
      </c>
      <c r="W51" s="1"/>
      <c r="X51" s="1"/>
      <c r="Y51" s="1"/>
      <c r="Z51" s="1"/>
      <c r="AA51" s="1"/>
      <c r="AB51" s="1"/>
      <c r="AC51" s="1"/>
      <c r="AD51" s="1"/>
      <c r="AE51" s="1"/>
    </row>
    <row r="52" spans="1:31" s="19" customFormat="1" ht="15" customHeight="1" x14ac:dyDescent="0.3">
      <c r="A52" s="71"/>
      <c r="B52" s="28"/>
      <c r="C52" s="29"/>
      <c r="D52" s="29"/>
      <c r="E52" s="29"/>
      <c r="F52" s="28"/>
      <c r="G52" s="26">
        <v>2</v>
      </c>
      <c r="H52" s="26">
        <f t="shared" si="11"/>
        <v>217</v>
      </c>
      <c r="I52" s="27"/>
      <c r="J52" s="27"/>
      <c r="K52" s="27"/>
      <c r="L52" s="27"/>
      <c r="M52" s="27"/>
      <c r="N52" s="27"/>
      <c r="O52" s="27"/>
      <c r="P52" s="27"/>
      <c r="Q52" s="27"/>
      <c r="R52" s="27" t="s">
        <v>11</v>
      </c>
      <c r="S52" s="27"/>
      <c r="T52" s="26"/>
      <c r="U52" s="27"/>
      <c r="V52" s="70" t="s">
        <v>0</v>
      </c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3">
      <c r="A53" s="71"/>
      <c r="B53" s="28"/>
      <c r="C53" s="29"/>
      <c r="D53" s="29"/>
      <c r="E53" s="29"/>
      <c r="F53" s="28"/>
      <c r="G53" s="30">
        <v>2</v>
      </c>
      <c r="H53" s="26">
        <f t="shared" si="11"/>
        <v>219</v>
      </c>
      <c r="I53" s="31"/>
      <c r="J53" s="31"/>
      <c r="K53" s="31"/>
      <c r="L53" s="31"/>
      <c r="M53" s="31"/>
      <c r="N53" s="31"/>
      <c r="O53" s="31"/>
      <c r="P53" s="31" t="s">
        <v>17</v>
      </c>
      <c r="Q53" s="31" t="s">
        <v>17</v>
      </c>
      <c r="R53" s="31"/>
      <c r="S53" s="31"/>
      <c r="T53" s="30"/>
      <c r="U53" s="31"/>
      <c r="V53" s="72" t="s">
        <v>0</v>
      </c>
      <c r="W53" s="1"/>
      <c r="X53" s="1"/>
      <c r="Y53" s="1"/>
      <c r="Z53" s="1"/>
      <c r="AA53" s="1"/>
      <c r="AB53" s="1"/>
      <c r="AC53" s="1"/>
      <c r="AD53" s="1"/>
      <c r="AE53" s="1"/>
    </row>
    <row r="54" spans="1:31" ht="15" customHeight="1" x14ac:dyDescent="0.3">
      <c r="A54" s="71"/>
      <c r="B54" s="28"/>
      <c r="C54" s="29"/>
      <c r="D54" s="29"/>
      <c r="E54" s="29"/>
      <c r="F54" s="28"/>
      <c r="G54" s="30">
        <v>7</v>
      </c>
      <c r="H54" s="26">
        <f t="shared" si="11"/>
        <v>226</v>
      </c>
      <c r="I54" s="31"/>
      <c r="J54" s="31"/>
      <c r="K54" s="31"/>
      <c r="L54" s="31"/>
      <c r="M54" s="31"/>
      <c r="N54" s="31"/>
      <c r="O54" s="31" t="s">
        <v>17</v>
      </c>
      <c r="P54" s="31" t="s">
        <v>17</v>
      </c>
      <c r="Q54" s="31" t="s">
        <v>17</v>
      </c>
      <c r="R54" s="31"/>
      <c r="S54" s="31" t="s">
        <v>118</v>
      </c>
      <c r="T54" s="30" t="s">
        <v>43</v>
      </c>
      <c r="U54" s="31" t="s">
        <v>119</v>
      </c>
      <c r="V54" s="72" t="s">
        <v>120</v>
      </c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customHeight="1" x14ac:dyDescent="0.3">
      <c r="A55" s="71"/>
      <c r="B55" s="28"/>
      <c r="C55" s="29"/>
      <c r="D55" s="29"/>
      <c r="E55" s="29"/>
      <c r="F55" s="28"/>
      <c r="G55" s="30">
        <v>2</v>
      </c>
      <c r="H55" s="26">
        <f t="shared" si="11"/>
        <v>228</v>
      </c>
      <c r="I55" s="31"/>
      <c r="J55" s="31"/>
      <c r="K55" s="31"/>
      <c r="L55" s="31"/>
      <c r="M55" s="31"/>
      <c r="N55" s="31"/>
      <c r="O55" s="31" t="s">
        <v>11</v>
      </c>
      <c r="P55" s="31" t="s">
        <v>17</v>
      </c>
      <c r="Q55" s="31" t="s">
        <v>17</v>
      </c>
      <c r="R55" s="31"/>
      <c r="S55" s="31"/>
      <c r="T55" s="30"/>
      <c r="U55" s="31"/>
      <c r="V55" s="72" t="s">
        <v>0</v>
      </c>
      <c r="W55" s="1"/>
      <c r="X55" s="1"/>
      <c r="Y55" s="1"/>
      <c r="Z55" s="1"/>
      <c r="AA55" s="1"/>
      <c r="AB55" s="1"/>
      <c r="AC55" s="1"/>
      <c r="AD55" s="1"/>
      <c r="AE55" s="1"/>
    </row>
    <row r="56" spans="1:31" ht="15" customHeight="1" thickBot="1" x14ac:dyDescent="0.35">
      <c r="A56" s="71"/>
      <c r="B56" s="28"/>
      <c r="C56" s="83"/>
      <c r="D56" s="83"/>
      <c r="E56" s="83"/>
      <c r="F56" s="51"/>
      <c r="G56" s="50">
        <v>2</v>
      </c>
      <c r="H56" s="83">
        <f t="shared" si="11"/>
        <v>230</v>
      </c>
      <c r="I56" s="31"/>
      <c r="J56" s="31"/>
      <c r="K56" s="31"/>
      <c r="L56" s="31"/>
      <c r="M56" s="31"/>
      <c r="N56" s="31"/>
      <c r="O56" s="31"/>
      <c r="P56" s="31" t="s">
        <v>11</v>
      </c>
      <c r="Q56" s="31" t="s">
        <v>11</v>
      </c>
      <c r="R56" s="31"/>
      <c r="S56" s="31"/>
      <c r="T56" s="30"/>
      <c r="U56" s="31"/>
      <c r="V56" s="72" t="s">
        <v>0</v>
      </c>
      <c r="W56" s="1">
        <f>SUM($G$49:$G$56)*2</f>
        <v>74</v>
      </c>
      <c r="X56" s="1"/>
      <c r="Y56" s="1">
        <f>SUM($G$49:$G$56)*10</f>
        <v>370</v>
      </c>
      <c r="Z56" s="1"/>
      <c r="AA56" s="1">
        <f>SUM($G$49:$G$56)*60</f>
        <v>2220</v>
      </c>
      <c r="AB56" s="1"/>
      <c r="AC56" s="1"/>
      <c r="AD56" s="1"/>
      <c r="AE56" s="1"/>
    </row>
    <row r="57" spans="1:31" s="19" customFormat="1" ht="15" customHeight="1" thickTop="1" thickBot="1" x14ac:dyDescent="0.35">
      <c r="A57" s="76">
        <v>13</v>
      </c>
      <c r="B57" s="36" t="s">
        <v>115</v>
      </c>
      <c r="C57" s="35">
        <v>1</v>
      </c>
      <c r="D57" s="35" t="s">
        <v>0</v>
      </c>
      <c r="E57" s="35">
        <v>14</v>
      </c>
      <c r="F57" s="34" t="s">
        <v>117</v>
      </c>
      <c r="G57" s="35" t="s">
        <v>29</v>
      </c>
      <c r="H57" s="35" t="s">
        <v>29</v>
      </c>
      <c r="I57" s="36" t="s">
        <v>0</v>
      </c>
      <c r="J57" s="36" t="s">
        <v>0</v>
      </c>
      <c r="K57" s="36" t="s">
        <v>0</v>
      </c>
      <c r="L57" s="36" t="s">
        <v>0</v>
      </c>
      <c r="M57" s="36" t="s">
        <v>0</v>
      </c>
      <c r="N57" s="36" t="s">
        <v>0</v>
      </c>
      <c r="O57" s="36" t="s">
        <v>0</v>
      </c>
      <c r="P57" s="36" t="s">
        <v>0</v>
      </c>
      <c r="Q57" s="36" t="s">
        <v>0</v>
      </c>
      <c r="R57" s="36" t="s">
        <v>0</v>
      </c>
      <c r="S57" s="36"/>
      <c r="T57" s="37"/>
      <c r="U57" s="36" t="s">
        <v>30</v>
      </c>
      <c r="V57" s="77" t="s">
        <v>0</v>
      </c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customHeight="1" thickTop="1" x14ac:dyDescent="0.3">
      <c r="A58" s="69">
        <v>14</v>
      </c>
      <c r="B58" s="23" t="s">
        <v>143</v>
      </c>
      <c r="C58" s="25">
        <v>1</v>
      </c>
      <c r="D58" s="25" t="s">
        <v>129</v>
      </c>
      <c r="E58" s="25" t="s">
        <v>0</v>
      </c>
      <c r="F58" s="23" t="s">
        <v>58</v>
      </c>
      <c r="G58" s="25">
        <v>6</v>
      </c>
      <c r="H58" s="25">
        <f>G58</f>
        <v>6</v>
      </c>
      <c r="I58" s="23"/>
      <c r="J58" s="23"/>
      <c r="K58" s="23"/>
      <c r="L58" s="23"/>
      <c r="M58" s="39"/>
      <c r="N58" s="39" t="s">
        <v>17</v>
      </c>
      <c r="O58" s="39"/>
      <c r="P58" s="84"/>
      <c r="Q58" s="84"/>
      <c r="R58" s="84" t="s">
        <v>17</v>
      </c>
      <c r="S58" s="84"/>
      <c r="T58" s="38"/>
      <c r="U58" s="39"/>
      <c r="V58" s="78" t="s">
        <v>0</v>
      </c>
      <c r="W58" s="1"/>
      <c r="X58" s="1"/>
      <c r="Y58" s="1"/>
      <c r="Z58" s="1"/>
      <c r="AA58" s="1"/>
      <c r="AB58" s="1"/>
      <c r="AC58" s="1"/>
      <c r="AD58" s="1"/>
      <c r="AE58" s="1"/>
    </row>
    <row r="59" spans="1:31" s="19" customFormat="1" ht="15" customHeight="1" x14ac:dyDescent="0.3">
      <c r="A59" s="71"/>
      <c r="B59" s="28"/>
      <c r="C59" s="29"/>
      <c r="D59" s="29"/>
      <c r="E59" s="29"/>
      <c r="F59" s="85"/>
      <c r="G59" s="87">
        <v>2</v>
      </c>
      <c r="H59" s="87">
        <f>G59+H58</f>
        <v>8</v>
      </c>
      <c r="I59" s="88"/>
      <c r="J59" s="88"/>
      <c r="K59" s="88"/>
      <c r="L59" s="88"/>
      <c r="M59" s="86"/>
      <c r="N59" s="31" t="s">
        <v>98</v>
      </c>
      <c r="O59" s="31"/>
      <c r="P59" s="27"/>
      <c r="Q59" s="27"/>
      <c r="R59" s="27" t="s">
        <v>17</v>
      </c>
      <c r="S59" s="27"/>
      <c r="T59" s="30"/>
      <c r="U59" s="31"/>
      <c r="V59" s="72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" customHeight="1" thickBot="1" x14ac:dyDescent="0.35">
      <c r="A60" s="74"/>
      <c r="B60" s="34"/>
      <c r="C60" s="35"/>
      <c r="D60" s="35"/>
      <c r="E60" s="35"/>
      <c r="F60" s="34" t="s">
        <v>60</v>
      </c>
      <c r="G60" s="35">
        <v>2</v>
      </c>
      <c r="H60" s="35">
        <f>G60+H59</f>
        <v>10</v>
      </c>
      <c r="I60" s="34"/>
      <c r="J60" s="34"/>
      <c r="K60" s="34"/>
      <c r="L60" s="34"/>
      <c r="M60" s="21"/>
      <c r="N60" s="21"/>
      <c r="O60" s="21"/>
      <c r="P60" s="21"/>
      <c r="Q60" s="21"/>
      <c r="R60" s="21" t="s">
        <v>11</v>
      </c>
      <c r="S60" s="21"/>
      <c r="T60" s="22"/>
      <c r="U60" s="21"/>
      <c r="V60" s="68" t="s">
        <v>0</v>
      </c>
      <c r="W60" s="1">
        <f>SUM(G58:G60)</f>
        <v>10</v>
      </c>
      <c r="X60" s="1"/>
      <c r="Y60" s="1">
        <f>SUM(G58:G60)</f>
        <v>10</v>
      </c>
      <c r="Z60" s="1"/>
      <c r="AA60" s="1">
        <f>SUM(G58:G60)</f>
        <v>10</v>
      </c>
      <c r="AB60" s="1"/>
      <c r="AC60" s="1"/>
      <c r="AD60" s="1"/>
      <c r="AE60" s="1"/>
    </row>
    <row r="61" spans="1:31" ht="15" customHeight="1" thickTop="1" thickBot="1" x14ac:dyDescent="0.35">
      <c r="A61" s="76">
        <v>15</v>
      </c>
      <c r="B61" s="36" t="s">
        <v>62</v>
      </c>
      <c r="C61" s="37">
        <v>1</v>
      </c>
      <c r="D61" s="25" t="s">
        <v>129</v>
      </c>
      <c r="E61" s="37">
        <v>16</v>
      </c>
      <c r="F61" s="36" t="s">
        <v>130</v>
      </c>
      <c r="G61" s="47" t="s">
        <v>29</v>
      </c>
      <c r="H61" s="47" t="s">
        <v>29</v>
      </c>
      <c r="I61" s="48" t="s">
        <v>0</v>
      </c>
      <c r="J61" s="36" t="s">
        <v>0</v>
      </c>
      <c r="K61" s="36" t="s">
        <v>0</v>
      </c>
      <c r="L61" s="36" t="s">
        <v>0</v>
      </c>
      <c r="M61" s="36" t="s">
        <v>0</v>
      </c>
      <c r="N61" s="36" t="s">
        <v>0</v>
      </c>
      <c r="O61" s="36" t="s">
        <v>0</v>
      </c>
      <c r="P61" s="36" t="s">
        <v>0</v>
      </c>
      <c r="Q61" s="36" t="s">
        <v>0</v>
      </c>
      <c r="R61" s="36" t="s">
        <v>0</v>
      </c>
      <c r="S61" s="36"/>
      <c r="T61" s="37"/>
      <c r="U61" s="36" t="s">
        <v>158</v>
      </c>
      <c r="V61" s="77" t="s">
        <v>0</v>
      </c>
      <c r="W61" s="1"/>
      <c r="X61" s="1"/>
      <c r="Y61" s="1"/>
      <c r="Z61" s="1"/>
      <c r="AA61" s="1"/>
      <c r="AB61" s="1"/>
      <c r="AC61" s="1"/>
      <c r="AD61" s="1"/>
      <c r="AE61" s="1"/>
    </row>
    <row r="62" spans="1:31" ht="15" customHeight="1" thickTop="1" x14ac:dyDescent="0.3">
      <c r="A62" s="69">
        <v>16</v>
      </c>
      <c r="B62" s="23" t="s">
        <v>62</v>
      </c>
      <c r="C62" s="25">
        <v>1</v>
      </c>
      <c r="D62" s="25">
        <v>16</v>
      </c>
      <c r="E62" s="25" t="s">
        <v>0</v>
      </c>
      <c r="F62" s="28" t="s">
        <v>133</v>
      </c>
      <c r="G62" s="26">
        <v>7</v>
      </c>
      <c r="H62" s="26">
        <f>G62</f>
        <v>7</v>
      </c>
      <c r="I62" s="27"/>
      <c r="J62" s="27"/>
      <c r="K62" s="27"/>
      <c r="L62" s="27"/>
      <c r="M62" s="27"/>
      <c r="N62" s="27"/>
      <c r="O62" s="27"/>
      <c r="P62" s="27"/>
      <c r="Q62" s="27"/>
      <c r="R62" s="31" t="s">
        <v>17</v>
      </c>
      <c r="S62" s="27" t="s">
        <v>33</v>
      </c>
      <c r="T62" s="26" t="s">
        <v>1</v>
      </c>
      <c r="U62" s="27" t="s">
        <v>34</v>
      </c>
      <c r="V62" s="70" t="s">
        <v>35</v>
      </c>
      <c r="W62" s="1"/>
      <c r="X62" s="1"/>
      <c r="Y62" s="1"/>
      <c r="Z62" s="1"/>
      <c r="AA62" s="1"/>
      <c r="AB62" s="1"/>
      <c r="AC62" s="1"/>
      <c r="AD62" s="1"/>
      <c r="AE62" s="1"/>
    </row>
    <row r="63" spans="1:31" ht="15" customHeight="1" x14ac:dyDescent="0.3">
      <c r="A63" s="71"/>
      <c r="B63" s="28"/>
      <c r="C63" s="29"/>
      <c r="D63" s="29"/>
      <c r="E63" s="29"/>
      <c r="F63" s="28"/>
      <c r="G63" s="26">
        <v>3</v>
      </c>
      <c r="H63" s="26">
        <f t="shared" ref="H63:H71" si="12">G63+H62</f>
        <v>10</v>
      </c>
      <c r="I63" s="27"/>
      <c r="J63" s="27"/>
      <c r="K63" s="27"/>
      <c r="L63" s="27"/>
      <c r="M63" s="31" t="s">
        <v>17</v>
      </c>
      <c r="N63" s="31" t="s">
        <v>17</v>
      </c>
      <c r="O63" s="27"/>
      <c r="P63" s="27"/>
      <c r="Q63" s="27"/>
      <c r="R63" s="31" t="s">
        <v>17</v>
      </c>
      <c r="S63" s="27"/>
      <c r="T63" s="26"/>
      <c r="U63" s="27"/>
      <c r="V63" s="70" t="s">
        <v>0</v>
      </c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customHeight="1" x14ac:dyDescent="0.3">
      <c r="A64" s="71"/>
      <c r="B64" s="28"/>
      <c r="C64" s="29"/>
      <c r="D64" s="29"/>
      <c r="E64" s="29"/>
      <c r="F64" s="28"/>
      <c r="G64" s="30">
        <v>7</v>
      </c>
      <c r="H64" s="26">
        <f t="shared" si="12"/>
        <v>17</v>
      </c>
      <c r="I64" s="31"/>
      <c r="J64" s="31"/>
      <c r="K64" s="31"/>
      <c r="L64" s="31" t="s">
        <v>17</v>
      </c>
      <c r="M64" s="31" t="s">
        <v>17</v>
      </c>
      <c r="N64" s="31" t="s">
        <v>17</v>
      </c>
      <c r="O64" s="31"/>
      <c r="P64" s="31"/>
      <c r="Q64" s="31"/>
      <c r="R64" s="31" t="s">
        <v>17</v>
      </c>
      <c r="S64" s="27" t="s">
        <v>3</v>
      </c>
      <c r="T64" s="26" t="s">
        <v>1</v>
      </c>
      <c r="U64" s="31" t="s">
        <v>91</v>
      </c>
      <c r="V64" s="72" t="s">
        <v>122</v>
      </c>
      <c r="W64" s="1"/>
      <c r="X64" s="1"/>
      <c r="Y64" s="1"/>
      <c r="Z64" s="1"/>
      <c r="AA64" s="1"/>
      <c r="AB64" s="1"/>
      <c r="AC64" s="1"/>
      <c r="AD64" s="1"/>
      <c r="AE64" s="1"/>
    </row>
    <row r="65" spans="1:31" ht="15" customHeight="1" x14ac:dyDescent="0.3">
      <c r="A65" s="71"/>
      <c r="B65" s="28"/>
      <c r="C65" s="29"/>
      <c r="D65" s="29"/>
      <c r="E65" s="29"/>
      <c r="F65" s="28"/>
      <c r="G65" s="30">
        <v>3</v>
      </c>
      <c r="H65" s="26">
        <f t="shared" si="12"/>
        <v>20</v>
      </c>
      <c r="I65" s="31"/>
      <c r="J65" s="31"/>
      <c r="K65" s="31"/>
      <c r="L65" s="31" t="s">
        <v>89</v>
      </c>
      <c r="M65" s="31" t="s">
        <v>90</v>
      </c>
      <c r="N65" s="31" t="s">
        <v>17</v>
      </c>
      <c r="O65" s="31"/>
      <c r="P65" s="31"/>
      <c r="Q65" s="31"/>
      <c r="R65" s="31" t="s">
        <v>90</v>
      </c>
      <c r="S65" s="27"/>
      <c r="T65" s="26"/>
      <c r="U65" s="31"/>
      <c r="V65" s="72"/>
      <c r="W65" s="1"/>
      <c r="X65" s="1"/>
      <c r="Y65" s="1"/>
      <c r="Z65" s="1"/>
      <c r="AA65" s="1"/>
      <c r="AB65" s="1"/>
      <c r="AC65" s="1"/>
      <c r="AD65" s="1"/>
      <c r="AE65" s="1"/>
    </row>
    <row r="66" spans="1:31" s="19" customFormat="1" ht="15" customHeight="1" x14ac:dyDescent="0.3">
      <c r="A66" s="71"/>
      <c r="B66" s="28"/>
      <c r="C66" s="29"/>
      <c r="D66" s="29"/>
      <c r="E66" s="29"/>
      <c r="F66" s="28"/>
      <c r="G66" s="30">
        <v>3</v>
      </c>
      <c r="H66" s="26">
        <f t="shared" si="12"/>
        <v>23</v>
      </c>
      <c r="I66" s="31"/>
      <c r="J66" s="31"/>
      <c r="K66" s="31"/>
      <c r="L66" s="31"/>
      <c r="M66" s="31" t="s">
        <v>89</v>
      </c>
      <c r="N66" s="31" t="s">
        <v>89</v>
      </c>
      <c r="O66" s="31"/>
      <c r="P66" s="31"/>
      <c r="Q66" s="31"/>
      <c r="R66" s="31" t="s">
        <v>90</v>
      </c>
      <c r="S66" s="31"/>
      <c r="T66" s="30"/>
      <c r="U66" s="27"/>
      <c r="V66" s="72" t="s">
        <v>0</v>
      </c>
      <c r="W66" s="1"/>
      <c r="X66" s="1"/>
      <c r="Y66" s="1"/>
      <c r="Z66" s="1"/>
      <c r="AA66" s="1"/>
      <c r="AB66" s="1"/>
      <c r="AC66" s="1"/>
      <c r="AD66" s="1"/>
      <c r="AE66" s="1"/>
    </row>
    <row r="67" spans="1:31" s="19" customFormat="1" ht="15" customHeight="1" x14ac:dyDescent="0.3">
      <c r="A67" s="71"/>
      <c r="B67" s="28"/>
      <c r="C67" s="29"/>
      <c r="D67" s="29"/>
      <c r="E67" s="29"/>
      <c r="F67" s="28"/>
      <c r="G67" s="30">
        <v>3</v>
      </c>
      <c r="H67" s="26">
        <f t="shared" si="12"/>
        <v>26</v>
      </c>
      <c r="I67" s="31"/>
      <c r="J67" s="31"/>
      <c r="K67" s="31"/>
      <c r="L67" s="31"/>
      <c r="M67" s="31"/>
      <c r="N67" s="31"/>
      <c r="O67" s="31"/>
      <c r="P67" s="31"/>
      <c r="Q67" s="31"/>
      <c r="R67" s="31" t="s">
        <v>89</v>
      </c>
      <c r="S67" s="31"/>
      <c r="T67" s="30"/>
      <c r="U67" s="27"/>
      <c r="V67" s="72" t="s">
        <v>0</v>
      </c>
      <c r="W67" s="1"/>
      <c r="X67" s="1"/>
      <c r="Y67" s="1"/>
      <c r="Z67" s="1"/>
      <c r="AA67" s="1"/>
      <c r="AB67" s="1"/>
      <c r="AC67" s="1"/>
      <c r="AD67" s="1"/>
      <c r="AE67" s="1"/>
    </row>
    <row r="68" spans="1:31" s="19" customFormat="1" ht="15" customHeight="1" x14ac:dyDescent="0.3">
      <c r="A68" s="71"/>
      <c r="B68" s="28"/>
      <c r="C68" s="29"/>
      <c r="D68" s="29"/>
      <c r="E68" s="29"/>
      <c r="F68" s="28"/>
      <c r="G68" s="30">
        <v>2</v>
      </c>
      <c r="H68" s="26">
        <f t="shared" si="12"/>
        <v>28</v>
      </c>
      <c r="I68" s="31"/>
      <c r="J68" s="31"/>
      <c r="K68" s="31"/>
      <c r="L68" s="31"/>
      <c r="M68" s="31"/>
      <c r="N68" s="31"/>
      <c r="O68" s="31"/>
      <c r="P68" s="31" t="s">
        <v>17</v>
      </c>
      <c r="Q68" s="31" t="s">
        <v>17</v>
      </c>
      <c r="R68" s="31"/>
      <c r="S68" s="31"/>
      <c r="T68" s="30"/>
      <c r="U68" s="27"/>
      <c r="V68" s="72" t="s">
        <v>0</v>
      </c>
      <c r="W68" s="1"/>
      <c r="X68" s="1"/>
      <c r="Y68" s="1"/>
      <c r="Z68" s="1"/>
      <c r="AA68" s="1"/>
      <c r="AB68" s="1"/>
      <c r="AC68" s="1"/>
      <c r="AD68" s="1"/>
      <c r="AE68" s="1"/>
    </row>
    <row r="69" spans="1:31" ht="15" customHeight="1" x14ac:dyDescent="0.3">
      <c r="A69" s="71"/>
      <c r="B69" s="28"/>
      <c r="C69" s="29"/>
      <c r="D69" s="29"/>
      <c r="E69" s="29"/>
      <c r="F69" s="28"/>
      <c r="G69" s="30">
        <v>13</v>
      </c>
      <c r="H69" s="26">
        <f t="shared" si="12"/>
        <v>41</v>
      </c>
      <c r="I69" s="31"/>
      <c r="J69" s="31"/>
      <c r="K69" s="31"/>
      <c r="L69" s="31" t="s">
        <v>17</v>
      </c>
      <c r="M69" s="31"/>
      <c r="N69" s="31"/>
      <c r="O69" s="31" t="s">
        <v>17</v>
      </c>
      <c r="P69" s="31" t="s">
        <v>17</v>
      </c>
      <c r="Q69" s="31" t="s">
        <v>17</v>
      </c>
      <c r="R69" s="31"/>
      <c r="S69" s="31" t="s">
        <v>118</v>
      </c>
      <c r="T69" s="30" t="s">
        <v>43</v>
      </c>
      <c r="U69" s="31" t="s">
        <v>119</v>
      </c>
      <c r="V69" s="72" t="s">
        <v>120</v>
      </c>
      <c r="W69" s="1"/>
      <c r="X69" s="1"/>
      <c r="Y69" s="1"/>
      <c r="Z69" s="1"/>
      <c r="AA69" s="1"/>
      <c r="AB69" s="1"/>
      <c r="AC69" s="1"/>
      <c r="AD69" s="1"/>
      <c r="AE69" s="1"/>
    </row>
    <row r="70" spans="1:31" s="19" customFormat="1" ht="15" customHeight="1" x14ac:dyDescent="0.3">
      <c r="A70" s="71"/>
      <c r="B70" s="28"/>
      <c r="C70" s="29"/>
      <c r="D70" s="29"/>
      <c r="E70" s="29"/>
      <c r="F70" s="28"/>
      <c r="G70" s="30">
        <v>2</v>
      </c>
      <c r="H70" s="26">
        <f t="shared" si="12"/>
        <v>43</v>
      </c>
      <c r="I70" s="31"/>
      <c r="J70" s="31"/>
      <c r="K70" s="31"/>
      <c r="L70" s="31" t="s">
        <v>90</v>
      </c>
      <c r="M70" s="31"/>
      <c r="N70" s="31"/>
      <c r="O70" s="31" t="s">
        <v>89</v>
      </c>
      <c r="P70" s="31" t="s">
        <v>17</v>
      </c>
      <c r="Q70" s="31" t="s">
        <v>90</v>
      </c>
      <c r="R70" s="31"/>
      <c r="S70" s="31"/>
      <c r="T70" s="30"/>
      <c r="U70" s="27"/>
      <c r="V70" s="72" t="s">
        <v>0</v>
      </c>
      <c r="W70" s="1"/>
      <c r="X70" s="1"/>
      <c r="Y70" s="1"/>
      <c r="Z70" s="1"/>
      <c r="AA70" s="1"/>
      <c r="AB70" s="1"/>
      <c r="AC70" s="1"/>
      <c r="AD70" s="1"/>
      <c r="AE70" s="1"/>
    </row>
    <row r="71" spans="1:31" s="19" customFormat="1" ht="15" customHeight="1" x14ac:dyDescent="0.3">
      <c r="A71" s="71"/>
      <c r="B71" s="28"/>
      <c r="C71" s="29"/>
      <c r="D71" s="29"/>
      <c r="E71" s="29"/>
      <c r="F71" s="28"/>
      <c r="G71" s="30">
        <v>180</v>
      </c>
      <c r="H71" s="26">
        <f t="shared" si="12"/>
        <v>223</v>
      </c>
      <c r="I71" s="31"/>
      <c r="J71" s="31"/>
      <c r="K71" s="31"/>
      <c r="L71" s="31" t="s">
        <v>90</v>
      </c>
      <c r="M71" s="31"/>
      <c r="N71" s="31"/>
      <c r="O71" s="31"/>
      <c r="P71" s="31" t="s">
        <v>98</v>
      </c>
      <c r="Q71" s="31" t="s">
        <v>89</v>
      </c>
      <c r="R71" s="31"/>
      <c r="S71" s="33" t="s">
        <v>4</v>
      </c>
      <c r="T71" s="32" t="s">
        <v>43</v>
      </c>
      <c r="U71" s="33" t="s">
        <v>103</v>
      </c>
      <c r="V71" s="72" t="s">
        <v>132</v>
      </c>
      <c r="W71" s="1"/>
      <c r="X71" s="1"/>
      <c r="Y71" s="1"/>
      <c r="Z71" s="1"/>
      <c r="AA71" s="1"/>
      <c r="AB71" s="1"/>
      <c r="AC71" s="1"/>
      <c r="AD71" s="1"/>
      <c r="AE71" s="1"/>
    </row>
    <row r="72" spans="1:31" ht="15" customHeight="1" thickBot="1" x14ac:dyDescent="0.35">
      <c r="A72" s="74"/>
      <c r="B72" s="34"/>
      <c r="C72" s="35"/>
      <c r="D72" s="35"/>
      <c r="E72" s="35"/>
      <c r="F72" s="28" t="s">
        <v>134</v>
      </c>
      <c r="G72" s="22">
        <v>2</v>
      </c>
      <c r="H72" s="26">
        <f>G72+H71</f>
        <v>225</v>
      </c>
      <c r="I72" s="21"/>
      <c r="J72" s="21"/>
      <c r="K72" s="21"/>
      <c r="L72" s="21" t="s">
        <v>98</v>
      </c>
      <c r="M72" s="21"/>
      <c r="N72" s="21"/>
      <c r="O72" s="21"/>
      <c r="P72" s="21"/>
      <c r="Q72" s="21"/>
      <c r="R72" s="21"/>
      <c r="S72" s="21"/>
      <c r="T72" s="22"/>
      <c r="U72" s="21"/>
      <c r="V72" s="68" t="s">
        <v>0</v>
      </c>
      <c r="W72" s="1">
        <f>SUM($G$62:$G$72)</f>
        <v>225</v>
      </c>
      <c r="X72" s="1"/>
      <c r="Y72" s="1">
        <f>SUM($G$62:$G$72)</f>
        <v>225</v>
      </c>
      <c r="Z72" s="1"/>
      <c r="AA72" s="1">
        <f>SUM($G$62:$G$72)</f>
        <v>225</v>
      </c>
      <c r="AB72" s="1"/>
      <c r="AC72" s="1"/>
      <c r="AD72" s="1"/>
      <c r="AE72" s="1"/>
    </row>
    <row r="73" spans="1:31" ht="15" customHeight="1" thickTop="1" thickBot="1" x14ac:dyDescent="0.35">
      <c r="A73" s="76">
        <v>17</v>
      </c>
      <c r="B73" s="36" t="s">
        <v>66</v>
      </c>
      <c r="C73" s="37">
        <v>1</v>
      </c>
      <c r="D73" s="25" t="s">
        <v>0</v>
      </c>
      <c r="E73" s="37">
        <v>18</v>
      </c>
      <c r="F73" s="36" t="s">
        <v>67</v>
      </c>
      <c r="G73" s="37" t="s">
        <v>29</v>
      </c>
      <c r="H73" s="37" t="s">
        <v>29</v>
      </c>
      <c r="I73" s="36" t="s">
        <v>0</v>
      </c>
      <c r="J73" s="36" t="s">
        <v>0</v>
      </c>
      <c r="K73" s="36" t="s">
        <v>0</v>
      </c>
      <c r="L73" s="36" t="s">
        <v>0</v>
      </c>
      <c r="M73" s="36" t="s">
        <v>0</v>
      </c>
      <c r="N73" s="36" t="s">
        <v>0</v>
      </c>
      <c r="O73" s="36" t="s">
        <v>0</v>
      </c>
      <c r="P73" s="36" t="s">
        <v>0</v>
      </c>
      <c r="Q73" s="36" t="s">
        <v>0</v>
      </c>
      <c r="R73" s="36" t="s">
        <v>0</v>
      </c>
      <c r="S73" s="36"/>
      <c r="T73" s="37"/>
      <c r="U73" s="36" t="s">
        <v>68</v>
      </c>
      <c r="V73" s="77" t="s">
        <v>0</v>
      </c>
      <c r="W73" s="1"/>
      <c r="X73" s="1"/>
      <c r="Y73" s="1"/>
      <c r="Z73" s="1"/>
      <c r="AA73" s="1"/>
      <c r="AB73" s="1"/>
      <c r="AC73" s="1"/>
      <c r="AD73" s="1"/>
      <c r="AE73" s="1"/>
    </row>
    <row r="74" spans="1:31" ht="15" customHeight="1" thickTop="1" x14ac:dyDescent="0.3">
      <c r="A74" s="69">
        <v>18</v>
      </c>
      <c r="B74" s="23" t="s">
        <v>66</v>
      </c>
      <c r="C74" s="25">
        <v>1</v>
      </c>
      <c r="D74" s="25">
        <v>18</v>
      </c>
      <c r="E74" s="25" t="s">
        <v>0</v>
      </c>
      <c r="F74" s="23" t="s">
        <v>69</v>
      </c>
      <c r="G74" s="26">
        <v>7</v>
      </c>
      <c r="H74" s="26">
        <f>G74</f>
        <v>7</v>
      </c>
      <c r="I74" s="27"/>
      <c r="J74" s="27"/>
      <c r="K74" s="27"/>
      <c r="L74" s="27"/>
      <c r="M74" s="27"/>
      <c r="N74" s="27"/>
      <c r="O74" s="27"/>
      <c r="P74" s="27"/>
      <c r="Q74" s="27"/>
      <c r="R74" s="27" t="s">
        <v>17</v>
      </c>
      <c r="S74" s="27" t="s">
        <v>33</v>
      </c>
      <c r="T74" s="26" t="s">
        <v>1</v>
      </c>
      <c r="U74" s="27" t="s">
        <v>34</v>
      </c>
      <c r="V74" s="70" t="s">
        <v>35</v>
      </c>
      <c r="W74" s="1"/>
      <c r="X74" s="1"/>
      <c r="Y74" s="1"/>
      <c r="Z74" s="1"/>
      <c r="AA74" s="1"/>
      <c r="AB74" s="1"/>
      <c r="AC74" s="1"/>
      <c r="AD74" s="1"/>
      <c r="AE74" s="1"/>
    </row>
    <row r="75" spans="1:31" ht="15" customHeight="1" x14ac:dyDescent="0.3">
      <c r="A75" s="71"/>
      <c r="B75" s="28"/>
      <c r="C75" s="29"/>
      <c r="D75" s="29"/>
      <c r="E75" s="29"/>
      <c r="F75" s="28"/>
      <c r="G75" s="30">
        <v>6</v>
      </c>
      <c r="H75" s="30">
        <f t="shared" ref="H75:H81" si="13">G75+H74</f>
        <v>13</v>
      </c>
      <c r="I75" s="31"/>
      <c r="J75" s="31"/>
      <c r="K75" s="31"/>
      <c r="L75" s="31"/>
      <c r="M75" s="31" t="s">
        <v>17</v>
      </c>
      <c r="N75" s="31"/>
      <c r="O75" s="31"/>
      <c r="P75" s="31"/>
      <c r="Q75" s="31"/>
      <c r="R75" s="31" t="s">
        <v>17</v>
      </c>
      <c r="S75" s="27" t="s">
        <v>135</v>
      </c>
      <c r="T75" s="26" t="s">
        <v>1</v>
      </c>
      <c r="U75" s="31" t="s">
        <v>156</v>
      </c>
      <c r="V75" s="72" t="s">
        <v>122</v>
      </c>
      <c r="W75" s="1"/>
      <c r="X75" s="1"/>
      <c r="Y75" s="1"/>
      <c r="Z75" s="1"/>
      <c r="AA75" s="1"/>
      <c r="AB75" s="1"/>
      <c r="AC75" s="1"/>
      <c r="AD75" s="1"/>
      <c r="AE75" s="1"/>
    </row>
    <row r="76" spans="1:31" ht="15" customHeight="1" x14ac:dyDescent="0.3">
      <c r="A76" s="71"/>
      <c r="B76" s="28"/>
      <c r="C76" s="29"/>
      <c r="D76" s="29"/>
      <c r="E76" s="29"/>
      <c r="F76" s="28"/>
      <c r="G76" s="30">
        <v>6</v>
      </c>
      <c r="H76" s="30">
        <f t="shared" si="13"/>
        <v>19</v>
      </c>
      <c r="I76" s="31"/>
      <c r="J76" s="31"/>
      <c r="K76" s="31"/>
      <c r="L76" s="31" t="s">
        <v>17</v>
      </c>
      <c r="M76" s="31" t="s">
        <v>17</v>
      </c>
      <c r="N76" s="31"/>
      <c r="O76" s="31"/>
      <c r="P76" s="31"/>
      <c r="Q76" s="31"/>
      <c r="R76" s="31" t="s">
        <v>17</v>
      </c>
      <c r="S76" s="31"/>
      <c r="T76" s="30"/>
      <c r="U76" s="31"/>
      <c r="V76" s="72" t="s">
        <v>0</v>
      </c>
      <c r="W76" s="1"/>
      <c r="X76" s="1"/>
      <c r="Y76" s="1"/>
      <c r="Z76" s="1"/>
      <c r="AA76" s="1"/>
      <c r="AB76" s="1"/>
      <c r="AC76" s="1"/>
      <c r="AD76" s="1"/>
      <c r="AE76" s="1"/>
    </row>
    <row r="77" spans="1:31" ht="15" customHeight="1" x14ac:dyDescent="0.3">
      <c r="A77" s="71"/>
      <c r="B77" s="28"/>
      <c r="C77" s="29"/>
      <c r="D77" s="29"/>
      <c r="E77" s="29"/>
      <c r="F77" s="28"/>
      <c r="G77" s="30">
        <v>6</v>
      </c>
      <c r="H77" s="30">
        <f t="shared" si="13"/>
        <v>25</v>
      </c>
      <c r="I77" s="31"/>
      <c r="J77" s="31"/>
      <c r="K77" s="31"/>
      <c r="L77" s="31" t="s">
        <v>17</v>
      </c>
      <c r="M77" s="31" t="s">
        <v>17</v>
      </c>
      <c r="N77" s="31" t="s">
        <v>17</v>
      </c>
      <c r="O77" s="31" t="s">
        <v>17</v>
      </c>
      <c r="P77" s="31"/>
      <c r="Q77" s="31"/>
      <c r="R77" s="31" t="s">
        <v>17</v>
      </c>
      <c r="S77" s="31"/>
      <c r="T77" s="30"/>
      <c r="U77" s="31" t="s">
        <v>181</v>
      </c>
      <c r="V77" s="72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" customHeight="1" x14ac:dyDescent="0.3">
      <c r="A78" s="71"/>
      <c r="B78" s="28"/>
      <c r="C78" s="29"/>
      <c r="D78" s="29"/>
      <c r="E78" s="29"/>
      <c r="F78" s="28"/>
      <c r="G78" s="30">
        <v>2</v>
      </c>
      <c r="H78" s="30">
        <f t="shared" si="13"/>
        <v>27</v>
      </c>
      <c r="I78" s="31"/>
      <c r="J78" s="31"/>
      <c r="K78" s="31"/>
      <c r="L78" s="31" t="s">
        <v>17</v>
      </c>
      <c r="M78" s="31" t="s">
        <v>11</v>
      </c>
      <c r="N78" s="31" t="s">
        <v>17</v>
      </c>
      <c r="O78" s="31" t="s">
        <v>17</v>
      </c>
      <c r="P78" s="31"/>
      <c r="Q78" s="31"/>
      <c r="R78" s="31" t="s">
        <v>17</v>
      </c>
      <c r="S78" s="27" t="s">
        <v>137</v>
      </c>
      <c r="T78" s="26" t="s">
        <v>1</v>
      </c>
      <c r="U78" s="31" t="s">
        <v>157</v>
      </c>
      <c r="V78" s="72" t="s">
        <v>122</v>
      </c>
      <c r="W78" s="1"/>
      <c r="X78" s="1"/>
      <c r="Y78" s="1"/>
      <c r="Z78" s="1"/>
      <c r="AA78" s="1"/>
      <c r="AB78" s="1"/>
      <c r="AC78" s="1"/>
      <c r="AD78" s="1"/>
      <c r="AE78" s="1"/>
    </row>
    <row r="79" spans="1:31" ht="15" customHeight="1" x14ac:dyDescent="0.3">
      <c r="A79" s="71"/>
      <c r="B79" s="28"/>
      <c r="C79" s="29"/>
      <c r="D79" s="29"/>
      <c r="E79" s="29"/>
      <c r="F79" s="28"/>
      <c r="G79" s="32">
        <v>2</v>
      </c>
      <c r="H79" s="30">
        <f t="shared" si="13"/>
        <v>29</v>
      </c>
      <c r="I79" s="33"/>
      <c r="J79" s="33"/>
      <c r="K79" s="33"/>
      <c r="L79" s="33" t="s">
        <v>17</v>
      </c>
      <c r="M79" s="33"/>
      <c r="N79" s="33" t="s">
        <v>11</v>
      </c>
      <c r="O79" s="33" t="s">
        <v>98</v>
      </c>
      <c r="P79" s="33"/>
      <c r="Q79" s="33"/>
      <c r="R79" s="33" t="s">
        <v>17</v>
      </c>
      <c r="S79" s="33"/>
      <c r="T79" s="32"/>
      <c r="U79" s="33"/>
      <c r="V79" s="73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 customHeight="1" x14ac:dyDescent="0.3">
      <c r="A80" s="71"/>
      <c r="B80" s="28"/>
      <c r="C80" s="29"/>
      <c r="D80" s="29"/>
      <c r="E80" s="29"/>
      <c r="F80" s="28"/>
      <c r="G80" s="32">
        <v>2</v>
      </c>
      <c r="H80" s="30">
        <f t="shared" si="13"/>
        <v>31</v>
      </c>
      <c r="I80" s="33"/>
      <c r="J80" s="33"/>
      <c r="K80" s="33"/>
      <c r="L80" s="33" t="s">
        <v>11</v>
      </c>
      <c r="M80" s="33"/>
      <c r="N80" s="33"/>
      <c r="O80" s="33"/>
      <c r="P80" s="33"/>
      <c r="Q80" s="33"/>
      <c r="R80" s="33" t="s">
        <v>17</v>
      </c>
      <c r="S80" s="33"/>
      <c r="T80" s="32"/>
      <c r="U80" s="33"/>
      <c r="V80" s="73" t="s">
        <v>0</v>
      </c>
      <c r="W80" s="1"/>
      <c r="X80" s="1"/>
      <c r="Y80" s="1"/>
      <c r="Z80" s="1"/>
      <c r="AA80" s="1"/>
      <c r="AB80" s="1"/>
      <c r="AC80" s="1"/>
      <c r="AD80" s="1"/>
      <c r="AE80" s="1"/>
    </row>
    <row r="81" spans="1:38" ht="15" customHeight="1" thickBot="1" x14ac:dyDescent="0.35">
      <c r="A81" s="74"/>
      <c r="B81" s="34"/>
      <c r="C81" s="35"/>
      <c r="D81" s="35"/>
      <c r="E81" s="35"/>
      <c r="F81" s="34"/>
      <c r="G81" s="22">
        <v>2</v>
      </c>
      <c r="H81" s="22">
        <f t="shared" si="13"/>
        <v>33</v>
      </c>
      <c r="I81" s="21"/>
      <c r="J81" s="21"/>
      <c r="K81" s="21"/>
      <c r="L81" s="21"/>
      <c r="M81" s="21"/>
      <c r="N81" s="21"/>
      <c r="O81" s="21"/>
      <c r="P81" s="21"/>
      <c r="Q81" s="21"/>
      <c r="R81" s="21" t="s">
        <v>11</v>
      </c>
      <c r="S81" s="21"/>
      <c r="T81" s="22"/>
      <c r="U81" s="21"/>
      <c r="V81" s="68" t="s">
        <v>0</v>
      </c>
      <c r="W81" s="1">
        <f>SUM(G74:G81)</f>
        <v>33</v>
      </c>
      <c r="X81" s="1"/>
      <c r="Y81" s="1">
        <f>SUM(G74:G81)</f>
        <v>33</v>
      </c>
      <c r="Z81" s="1"/>
      <c r="AA81" s="1">
        <f>SUM(G74:G81)</f>
        <v>33</v>
      </c>
      <c r="AB81" s="1"/>
      <c r="AC81" s="1"/>
      <c r="AD81" s="1"/>
      <c r="AE81" s="1"/>
    </row>
    <row r="82" spans="1:38" ht="15" customHeight="1" thickTop="1" thickBot="1" x14ac:dyDescent="0.35">
      <c r="A82" s="76">
        <v>19</v>
      </c>
      <c r="B82" s="36" t="s">
        <v>72</v>
      </c>
      <c r="C82" s="37">
        <v>1</v>
      </c>
      <c r="D82" s="25" t="s">
        <v>0</v>
      </c>
      <c r="E82" s="37">
        <v>20</v>
      </c>
      <c r="F82" s="36" t="s">
        <v>139</v>
      </c>
      <c r="G82" s="37" t="s">
        <v>29</v>
      </c>
      <c r="H82" s="37" t="s">
        <v>29</v>
      </c>
      <c r="I82" s="36" t="s">
        <v>17</v>
      </c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7"/>
      <c r="U82" s="36" t="s">
        <v>30</v>
      </c>
      <c r="V82" s="77" t="s">
        <v>0</v>
      </c>
      <c r="W82" s="1"/>
      <c r="X82" s="1"/>
      <c r="Y82" s="1"/>
      <c r="Z82" s="1"/>
      <c r="AA82" s="1"/>
      <c r="AB82" s="1"/>
      <c r="AC82" s="1"/>
      <c r="AD82" s="1"/>
      <c r="AE82" s="1"/>
    </row>
    <row r="83" spans="1:38" ht="15" customHeight="1" thickTop="1" thickBot="1" x14ac:dyDescent="0.35">
      <c r="A83" s="76">
        <v>20</v>
      </c>
      <c r="B83" s="36" t="s">
        <v>73</v>
      </c>
      <c r="C83" s="37">
        <v>1</v>
      </c>
      <c r="D83" s="37">
        <v>20</v>
      </c>
      <c r="E83" s="37" t="s">
        <v>0</v>
      </c>
      <c r="F83" s="36" t="s">
        <v>73</v>
      </c>
      <c r="G83" s="37">
        <v>30</v>
      </c>
      <c r="H83" s="37">
        <v>30</v>
      </c>
      <c r="I83" s="36" t="s">
        <v>17</v>
      </c>
      <c r="J83" s="36"/>
      <c r="K83" s="36"/>
      <c r="L83" s="36"/>
      <c r="M83" s="36"/>
      <c r="N83" s="36"/>
      <c r="O83" s="36"/>
      <c r="P83" s="36"/>
      <c r="Q83" s="36"/>
      <c r="R83" s="36"/>
      <c r="S83" s="36" t="s">
        <v>3</v>
      </c>
      <c r="T83" s="37" t="s">
        <v>1</v>
      </c>
      <c r="U83" s="36" t="s">
        <v>140</v>
      </c>
      <c r="V83" s="77" t="s">
        <v>74</v>
      </c>
      <c r="W83" s="1">
        <f>SUM(G83)</f>
        <v>30</v>
      </c>
      <c r="X83" s="1"/>
      <c r="Y83" s="1">
        <f>SUM(G83)</f>
        <v>30</v>
      </c>
      <c r="Z83" s="1"/>
      <c r="AA83" s="1">
        <f>SUM(G83)</f>
        <v>30</v>
      </c>
      <c r="AB83" s="1"/>
      <c r="AC83" s="1"/>
      <c r="AD83" s="1"/>
      <c r="AE83" s="1"/>
    </row>
    <row r="84" spans="1:38" ht="15" customHeight="1" thickTop="1" thickBot="1" x14ac:dyDescent="0.35">
      <c r="A84" s="76">
        <v>21</v>
      </c>
      <c r="B84" s="36" t="s">
        <v>75</v>
      </c>
      <c r="C84" s="37">
        <v>1</v>
      </c>
      <c r="D84" s="37">
        <v>19</v>
      </c>
      <c r="E84" s="37">
        <v>22</v>
      </c>
      <c r="F84" s="36" t="s">
        <v>113</v>
      </c>
      <c r="G84" s="37" t="s">
        <v>29</v>
      </c>
      <c r="H84" s="37" t="s">
        <v>29</v>
      </c>
      <c r="I84" s="36" t="s">
        <v>17</v>
      </c>
      <c r="J84" s="36"/>
      <c r="K84" s="36"/>
      <c r="L84" s="36" t="s">
        <v>17</v>
      </c>
      <c r="M84" s="36"/>
      <c r="N84" s="36"/>
      <c r="O84" s="36"/>
      <c r="P84" s="36"/>
      <c r="Q84" s="36"/>
      <c r="R84" s="36"/>
      <c r="S84" s="36" t="s">
        <v>3</v>
      </c>
      <c r="T84" s="37" t="s">
        <v>43</v>
      </c>
      <c r="U84" s="36" t="s">
        <v>141</v>
      </c>
      <c r="V84" s="77" t="s">
        <v>74</v>
      </c>
      <c r="W84" s="1"/>
      <c r="X84" s="1"/>
      <c r="Y84" s="1"/>
      <c r="Z84" s="1"/>
      <c r="AA84" s="1"/>
      <c r="AB84" s="1"/>
      <c r="AC84" s="1"/>
      <c r="AD84" s="1"/>
      <c r="AE84" s="1"/>
    </row>
    <row r="85" spans="1:38" s="19" customFormat="1" ht="15" customHeight="1" thickTop="1" x14ac:dyDescent="0.3">
      <c r="A85" s="97">
        <v>22</v>
      </c>
      <c r="B85" s="105" t="s">
        <v>178</v>
      </c>
      <c r="C85" s="98" t="s">
        <v>171</v>
      </c>
      <c r="D85" s="98">
        <v>22</v>
      </c>
      <c r="E85" s="98" t="s">
        <v>0</v>
      </c>
      <c r="F85" s="97" t="s">
        <v>172</v>
      </c>
      <c r="G85" s="99" t="s">
        <v>173</v>
      </c>
      <c r="H85" s="99" t="s">
        <v>173</v>
      </c>
      <c r="I85" s="100" t="s">
        <v>89</v>
      </c>
      <c r="J85" s="100"/>
      <c r="K85" s="100"/>
      <c r="L85" s="100" t="s">
        <v>89</v>
      </c>
      <c r="M85" s="100"/>
      <c r="N85" s="100"/>
      <c r="O85" s="100"/>
      <c r="P85" s="100"/>
      <c r="Q85" s="100"/>
      <c r="R85" s="100"/>
      <c r="S85" s="100"/>
      <c r="T85" s="99"/>
      <c r="U85" s="100"/>
      <c r="V85" s="100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s="19" customFormat="1" ht="15" customHeight="1" x14ac:dyDescent="0.3">
      <c r="A86" s="101"/>
      <c r="B86" s="106" t="s">
        <v>179</v>
      </c>
      <c r="C86" s="102"/>
      <c r="D86" s="102"/>
      <c r="E86" s="102"/>
      <c r="F86" s="101" t="s">
        <v>174</v>
      </c>
      <c r="G86" s="103">
        <v>7</v>
      </c>
      <c r="H86" s="103">
        <f>G86</f>
        <v>7</v>
      </c>
      <c r="I86" s="104"/>
      <c r="J86" s="104"/>
      <c r="K86" s="104"/>
      <c r="L86" s="104"/>
      <c r="M86" s="104"/>
      <c r="N86" s="104"/>
      <c r="O86" s="104"/>
      <c r="P86" s="104"/>
      <c r="Q86" s="104"/>
      <c r="R86" s="104" t="s">
        <v>90</v>
      </c>
      <c r="S86" s="100" t="s">
        <v>33</v>
      </c>
      <c r="T86" s="99" t="s">
        <v>1</v>
      </c>
      <c r="U86" s="100" t="s">
        <v>34</v>
      </c>
      <c r="V86" s="100" t="s">
        <v>35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s="19" customFormat="1" ht="15" customHeight="1" x14ac:dyDescent="0.3">
      <c r="A87" s="101"/>
      <c r="B87" s="106"/>
      <c r="C87" s="102"/>
      <c r="D87" s="102"/>
      <c r="E87" s="102"/>
      <c r="F87" s="101"/>
      <c r="G87" s="103">
        <v>6</v>
      </c>
      <c r="H87" s="103">
        <f>H86+G87</f>
        <v>13</v>
      </c>
      <c r="I87" s="104"/>
      <c r="J87" s="104"/>
      <c r="K87" s="104"/>
      <c r="L87" s="104"/>
      <c r="M87" s="104" t="s">
        <v>17</v>
      </c>
      <c r="N87" s="104"/>
      <c r="O87" s="104"/>
      <c r="P87" s="104"/>
      <c r="Q87" s="104"/>
      <c r="R87" s="104" t="s">
        <v>90</v>
      </c>
      <c r="S87" s="104"/>
      <c r="T87" s="103"/>
      <c r="U87" s="104"/>
      <c r="V87" s="104" t="s">
        <v>0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s="19" customFormat="1" ht="15" customHeight="1" x14ac:dyDescent="0.3">
      <c r="A88" s="101"/>
      <c r="B88" s="101"/>
      <c r="C88" s="102"/>
      <c r="D88" s="102"/>
      <c r="E88" s="102"/>
      <c r="F88" s="101"/>
      <c r="G88" s="103">
        <v>2</v>
      </c>
      <c r="H88" s="103">
        <f t="shared" ref="H88:H91" si="14">H87+G88</f>
        <v>15</v>
      </c>
      <c r="I88" s="104"/>
      <c r="J88" s="104"/>
      <c r="K88" s="104"/>
      <c r="L88" s="104"/>
      <c r="M88" s="104" t="s">
        <v>11</v>
      </c>
      <c r="N88" s="104"/>
      <c r="O88" s="104"/>
      <c r="P88" s="104"/>
      <c r="Q88" s="104"/>
      <c r="R88" s="104" t="s">
        <v>90</v>
      </c>
      <c r="S88" s="104"/>
      <c r="T88" s="103"/>
      <c r="U88" s="104"/>
      <c r="V88" s="104" t="s">
        <v>0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s="19" customFormat="1" ht="15" customHeight="1" x14ac:dyDescent="0.3">
      <c r="A89" s="101"/>
      <c r="B89" s="101"/>
      <c r="C89" s="102"/>
      <c r="D89" s="102"/>
      <c r="E89" s="102"/>
      <c r="F89" s="101"/>
      <c r="G89" s="103">
        <v>7</v>
      </c>
      <c r="H89" s="103">
        <f t="shared" si="14"/>
        <v>22</v>
      </c>
      <c r="I89" s="104"/>
      <c r="J89" s="104"/>
      <c r="K89" s="104"/>
      <c r="L89" s="104" t="s">
        <v>17</v>
      </c>
      <c r="M89" s="104"/>
      <c r="N89" s="104"/>
      <c r="O89" s="104"/>
      <c r="P89" s="104"/>
      <c r="Q89" s="104"/>
      <c r="R89" s="104" t="s">
        <v>90</v>
      </c>
      <c r="S89" s="104"/>
      <c r="T89" s="103"/>
      <c r="U89" s="104"/>
      <c r="V89" s="104" t="s">
        <v>0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s="19" customFormat="1" ht="15" customHeight="1" x14ac:dyDescent="0.3">
      <c r="A90" s="101"/>
      <c r="B90" s="101"/>
      <c r="C90" s="102"/>
      <c r="D90" s="102"/>
      <c r="E90" s="102"/>
      <c r="F90" s="101"/>
      <c r="G90" s="103">
        <v>2</v>
      </c>
      <c r="H90" s="103">
        <f t="shared" si="14"/>
        <v>24</v>
      </c>
      <c r="I90" s="104"/>
      <c r="J90" s="104"/>
      <c r="K90" s="104"/>
      <c r="L90" s="104" t="s">
        <v>11</v>
      </c>
      <c r="M90" s="104"/>
      <c r="N90" s="104"/>
      <c r="O90" s="104"/>
      <c r="P90" s="104"/>
      <c r="Q90" s="104"/>
      <c r="R90" s="104" t="s">
        <v>90</v>
      </c>
      <c r="S90" s="104"/>
      <c r="T90" s="103" t="s">
        <v>1</v>
      </c>
      <c r="U90" s="104" t="s">
        <v>177</v>
      </c>
      <c r="V90" s="104" t="s">
        <v>176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s="19" customFormat="1" ht="15" customHeight="1" x14ac:dyDescent="0.3">
      <c r="A91" s="101"/>
      <c r="B91" s="101"/>
      <c r="C91" s="102"/>
      <c r="D91" s="102"/>
      <c r="E91" s="102"/>
      <c r="F91" s="101"/>
      <c r="G91" s="103">
        <v>2</v>
      </c>
      <c r="H91" s="103">
        <f t="shared" si="14"/>
        <v>26</v>
      </c>
      <c r="I91" s="104"/>
      <c r="J91" s="104"/>
      <c r="K91" s="104"/>
      <c r="L91" s="104"/>
      <c r="M91" s="104"/>
      <c r="N91" s="104"/>
      <c r="O91" s="104"/>
      <c r="P91" s="104"/>
      <c r="Q91" s="104"/>
      <c r="R91" s="104" t="s">
        <v>89</v>
      </c>
      <c r="S91" s="104"/>
      <c r="T91" s="103"/>
      <c r="U91" s="104"/>
      <c r="V91" s="104" t="s">
        <v>0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s="19" customFormat="1" ht="15" customHeight="1" thickBot="1" x14ac:dyDescent="0.35">
      <c r="A92" s="101"/>
      <c r="B92" s="101"/>
      <c r="C92" s="102"/>
      <c r="D92" s="102"/>
      <c r="E92" s="102"/>
      <c r="F92" s="101" t="s">
        <v>175</v>
      </c>
      <c r="G92" s="103" t="s">
        <v>173</v>
      </c>
      <c r="H92" s="103" t="s">
        <v>173</v>
      </c>
      <c r="I92" s="104" t="s">
        <v>90</v>
      </c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3"/>
      <c r="U92" s="104"/>
      <c r="V92" s="104" t="s">
        <v>0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" customHeight="1" thickTop="1" thickBot="1" x14ac:dyDescent="0.35">
      <c r="A93" s="76">
        <v>23</v>
      </c>
      <c r="B93" s="36" t="s">
        <v>76</v>
      </c>
      <c r="C93" s="37">
        <v>1</v>
      </c>
      <c r="D93" s="37">
        <v>19</v>
      </c>
      <c r="E93" s="37">
        <v>24</v>
      </c>
      <c r="F93" s="36" t="s">
        <v>77</v>
      </c>
      <c r="G93" s="37" t="s">
        <v>29</v>
      </c>
      <c r="H93" s="37" t="s">
        <v>29</v>
      </c>
      <c r="I93" s="36" t="s">
        <v>17</v>
      </c>
      <c r="J93" s="36"/>
      <c r="K93" s="36"/>
      <c r="L93" s="36" t="s">
        <v>17</v>
      </c>
      <c r="M93" s="36"/>
      <c r="N93" s="36"/>
      <c r="O93" s="36"/>
      <c r="P93" s="36"/>
      <c r="Q93" s="36"/>
      <c r="R93" s="36"/>
      <c r="S93" s="36" t="s">
        <v>3</v>
      </c>
      <c r="T93" s="37" t="s">
        <v>43</v>
      </c>
      <c r="U93" s="36" t="s">
        <v>141</v>
      </c>
      <c r="V93" s="77" t="s">
        <v>74</v>
      </c>
      <c r="W93" s="1"/>
      <c r="X93" s="1"/>
      <c r="Y93" s="1"/>
      <c r="Z93" s="1"/>
      <c r="AA93" s="1"/>
      <c r="AB93" s="1"/>
      <c r="AC93" s="1"/>
      <c r="AD93" s="1"/>
      <c r="AE93" s="1"/>
    </row>
    <row r="94" spans="1:38" ht="15" customHeight="1" thickTop="1" thickBot="1" x14ac:dyDescent="0.35">
      <c r="A94" s="76">
        <v>24</v>
      </c>
      <c r="B94" s="36" t="s">
        <v>76</v>
      </c>
      <c r="C94" s="37">
        <v>1</v>
      </c>
      <c r="D94" s="37">
        <v>19</v>
      </c>
      <c r="E94" s="37">
        <v>25</v>
      </c>
      <c r="F94" s="36" t="s">
        <v>78</v>
      </c>
      <c r="G94" s="37" t="s">
        <v>29</v>
      </c>
      <c r="H94" s="37" t="s">
        <v>29</v>
      </c>
      <c r="I94" s="36" t="s">
        <v>17</v>
      </c>
      <c r="J94" s="36"/>
      <c r="K94" s="36"/>
      <c r="L94" s="36" t="s">
        <v>17</v>
      </c>
      <c r="M94" s="36"/>
      <c r="N94" s="36"/>
      <c r="O94" s="36"/>
      <c r="P94" s="36"/>
      <c r="Q94" s="36"/>
      <c r="R94" s="36"/>
      <c r="S94" s="36" t="s">
        <v>3</v>
      </c>
      <c r="T94" s="37" t="s">
        <v>43</v>
      </c>
      <c r="U94" s="36" t="s">
        <v>141</v>
      </c>
      <c r="V94" s="89" t="s">
        <v>74</v>
      </c>
      <c r="W94" s="1"/>
      <c r="X94" s="1"/>
      <c r="Y94" s="1"/>
      <c r="Z94" s="1"/>
      <c r="AA94" s="1"/>
      <c r="AB94" s="1"/>
      <c r="AC94" s="1"/>
      <c r="AD94" s="1"/>
      <c r="AE94" s="1"/>
    </row>
    <row r="95" spans="1:38" ht="15" customHeight="1" thickTop="1" x14ac:dyDescent="0.3">
      <c r="A95" s="82">
        <v>25</v>
      </c>
      <c r="B95" s="45" t="s">
        <v>104</v>
      </c>
      <c r="C95" s="46">
        <v>1</v>
      </c>
      <c r="D95" s="46"/>
      <c r="E95" s="46"/>
      <c r="F95" s="45" t="s">
        <v>105</v>
      </c>
      <c r="G95" s="46">
        <v>2</v>
      </c>
      <c r="H95" s="46">
        <v>2</v>
      </c>
      <c r="I95" s="45" t="s">
        <v>17</v>
      </c>
      <c r="J95" s="45"/>
      <c r="K95" s="45" t="s">
        <v>17</v>
      </c>
      <c r="L95" s="45" t="s">
        <v>17</v>
      </c>
      <c r="M95" s="45"/>
      <c r="N95" s="45"/>
      <c r="O95" s="45"/>
      <c r="P95" s="45"/>
      <c r="Q95" s="45"/>
      <c r="R95" s="45"/>
      <c r="S95" s="45"/>
      <c r="T95" s="46"/>
      <c r="U95" s="45"/>
      <c r="V95" s="80"/>
      <c r="W95" s="1">
        <f>SUM(G95)</f>
        <v>2</v>
      </c>
      <c r="X95" s="1"/>
      <c r="Y95" s="1">
        <f>SUM(G95)</f>
        <v>2</v>
      </c>
      <c r="Z95" s="1"/>
      <c r="AA95" s="1">
        <f>SUM(G95)</f>
        <v>2</v>
      </c>
      <c r="AB95" s="1"/>
      <c r="AC95" s="1"/>
      <c r="AD95" s="1"/>
      <c r="AE95" s="1"/>
    </row>
    <row r="96" spans="1:38" ht="15" customHeight="1" x14ac:dyDescent="0.3">
      <c r="A96" s="1" t="s">
        <v>79</v>
      </c>
      <c r="B96" s="1"/>
      <c r="C96" s="2"/>
      <c r="D96" s="2"/>
      <c r="E96" s="2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  <c r="U96" s="1"/>
      <c r="V96" s="1"/>
      <c r="W96" s="14">
        <f>SUM(W8:W95)</f>
        <v>2301</v>
      </c>
      <c r="X96" s="95" t="s">
        <v>167</v>
      </c>
      <c r="Y96" s="14">
        <f>SUM(Y8:Y95)</f>
        <v>3669</v>
      </c>
      <c r="Z96" s="95" t="s">
        <v>167</v>
      </c>
      <c r="AA96" s="14">
        <f>SUM(AA8:AA95)</f>
        <v>12219</v>
      </c>
      <c r="AB96" s="95" t="s">
        <v>167</v>
      </c>
      <c r="AC96" s="1"/>
      <c r="AD96" s="1"/>
      <c r="AE96" s="1"/>
    </row>
    <row r="97" spans="1:31" ht="15" customHeight="1" x14ac:dyDescent="0.3">
      <c r="A97" s="1"/>
      <c r="B97" s="1"/>
      <c r="C97" s="2"/>
      <c r="D97" s="2"/>
      <c r="E97" s="2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1"/>
      <c r="V97" s="1"/>
      <c r="W97" s="15">
        <f>SUM(W96/3600)</f>
        <v>0.63916666666666666</v>
      </c>
      <c r="X97" s="15">
        <f>SUM((W96-(W99*3600))/60)</f>
        <v>38.35</v>
      </c>
      <c r="Y97" s="15">
        <f>SUM(Y96/3600)</f>
        <v>1.0191666666666668</v>
      </c>
      <c r="Z97" s="15">
        <f>SUM((Y96-(Y99*3600))/60)</f>
        <v>1.1499999999999999</v>
      </c>
      <c r="AA97" s="15">
        <f>SUM(AA96/3600)</f>
        <v>3.3941666666666666</v>
      </c>
      <c r="AB97" s="15">
        <f>SUM((AA96-(AA99*3600))/60)</f>
        <v>23.65</v>
      </c>
      <c r="AC97" s="1"/>
      <c r="AD97" s="1"/>
      <c r="AE97" s="1"/>
    </row>
    <row r="98" spans="1:31" ht="15" customHeight="1" x14ac:dyDescent="0.3">
      <c r="A98" s="1"/>
      <c r="B98" s="1"/>
      <c r="C98" s="2"/>
      <c r="D98" s="2"/>
      <c r="E98" s="2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1"/>
      <c r="V98" s="1"/>
      <c r="W98" s="96">
        <v>2</v>
      </c>
      <c r="X98" s="17" t="s">
        <v>21</v>
      </c>
      <c r="Y98" s="96">
        <v>10</v>
      </c>
      <c r="Z98" s="17" t="s">
        <v>21</v>
      </c>
      <c r="AA98" s="96">
        <v>60</v>
      </c>
      <c r="AB98" s="17" t="s">
        <v>21</v>
      </c>
      <c r="AC98" s="1"/>
      <c r="AD98" s="1"/>
      <c r="AE98" s="1"/>
    </row>
    <row r="99" spans="1:31" ht="15" customHeight="1" x14ac:dyDescent="0.3">
      <c r="A99" s="1"/>
      <c r="B99" s="1"/>
      <c r="C99" s="2"/>
      <c r="D99" s="2"/>
      <c r="E99" s="2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1"/>
      <c r="V99" s="1"/>
      <c r="W99" s="16">
        <f>INT(W97)</f>
        <v>0</v>
      </c>
      <c r="X99" s="1" t="s">
        <v>82</v>
      </c>
      <c r="Y99" s="16">
        <f>INT(Y97)</f>
        <v>1</v>
      </c>
      <c r="Z99" s="1" t="s">
        <v>168</v>
      </c>
      <c r="AA99" s="16">
        <f>INT(AA97)</f>
        <v>3</v>
      </c>
      <c r="AB99" s="1" t="s">
        <v>168</v>
      </c>
      <c r="AC99" s="1"/>
      <c r="AD99" s="1"/>
      <c r="AE99" s="1"/>
    </row>
    <row r="100" spans="1:31" ht="15" customHeight="1" x14ac:dyDescent="0.3">
      <c r="A100" s="1"/>
      <c r="B100" s="1"/>
      <c r="C100" s="2"/>
      <c r="D100" s="2"/>
      <c r="E100" s="2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1"/>
      <c r="V100" s="1"/>
      <c r="W100" s="16">
        <f>INT(X97)</f>
        <v>38</v>
      </c>
      <c r="X100" s="1" t="s">
        <v>83</v>
      </c>
      <c r="Y100" s="16">
        <f>INT(Z97)</f>
        <v>1</v>
      </c>
      <c r="Z100" s="1" t="s">
        <v>169</v>
      </c>
      <c r="AA100" s="16">
        <f>INT(AB97)</f>
        <v>23</v>
      </c>
      <c r="AB100" s="1" t="s">
        <v>169</v>
      </c>
      <c r="AC100" s="1"/>
      <c r="AD100" s="1"/>
      <c r="AE100" s="1"/>
    </row>
    <row r="101" spans="1:31" ht="15" customHeight="1" x14ac:dyDescent="0.3">
      <c r="A101" s="1"/>
      <c r="B101" s="1"/>
      <c r="C101" s="2"/>
      <c r="D101" s="2"/>
      <c r="E101" s="2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1"/>
      <c r="V101" s="1"/>
      <c r="W101" s="18">
        <f>SUM(W96-((W99*3600)+(W100*60)))</f>
        <v>21</v>
      </c>
      <c r="X101" s="1" t="s">
        <v>85</v>
      </c>
      <c r="Y101" s="18">
        <f>SUM(Y96-((Y99*3600)+(Y100*60)))</f>
        <v>9</v>
      </c>
      <c r="Z101" s="1" t="s">
        <v>170</v>
      </c>
      <c r="AA101" s="18">
        <f>SUM(AA96-((AA99*3600)+(AA100*60)))</f>
        <v>39</v>
      </c>
      <c r="AB101" s="1" t="s">
        <v>170</v>
      </c>
      <c r="AC101" s="1"/>
      <c r="AD101" s="1"/>
      <c r="AE101" s="1"/>
    </row>
    <row r="102" spans="1:31" ht="15" customHeight="1" x14ac:dyDescent="0.3">
      <c r="A102" s="1"/>
      <c r="B102" s="1"/>
      <c r="C102" s="2"/>
      <c r="D102" s="2"/>
      <c r="E102" s="2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</sheetData>
  <phoneticPr fontId="5" type="noConversion"/>
  <pageMargins left="0.7" right="0.7" top="0.75" bottom="0.75" header="0.3" footer="0.3"/>
  <pageSetup paperSize="9" scale="40" orientation="portrait" r:id="rId1"/>
  <rowBreaks count="1" manualBreakCount="1">
    <brk id="96" max="21" man="1"/>
  </rowBreaks>
  <colBreaks count="1" manualBreakCount="1">
    <brk id="22" max="95" man="1"/>
  </colBreaks>
  <ignoredErrors>
    <ignoredError sqref="H1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04"/>
  <sheetViews>
    <sheetView view="pageBreakPreview" zoomScale="115" zoomScaleNormal="100" zoomScaleSheetLayoutView="115" workbookViewId="0">
      <pane ySplit="6" topLeftCell="A7" activePane="bottomLeft" state="frozen"/>
      <selection activeCell="D42" sqref="D42"/>
      <selection pane="bottomLeft" activeCell="A2" sqref="A2"/>
    </sheetView>
  </sheetViews>
  <sheetFormatPr defaultColWidth="12.625" defaultRowHeight="15" customHeight="1" x14ac:dyDescent="0.3"/>
  <cols>
    <col min="1" max="1" width="4.25" customWidth="1"/>
    <col min="2" max="2" width="19.75" customWidth="1"/>
    <col min="3" max="5" width="5.125" customWidth="1"/>
    <col min="6" max="6" width="37" bestFit="1" customWidth="1"/>
    <col min="7" max="7" width="4.25" customWidth="1"/>
    <col min="8" max="8" width="6" bestFit="1" customWidth="1"/>
    <col min="9" max="18" width="1.875" customWidth="1"/>
    <col min="19" max="19" width="10" bestFit="1" customWidth="1"/>
    <col min="20" max="20" width="5" customWidth="1"/>
    <col min="21" max="21" width="47.625" customWidth="1"/>
    <col min="22" max="22" width="34.625" bestFit="1" customWidth="1"/>
    <col min="23" max="27" width="6.875" style="19" customWidth="1"/>
    <col min="28" max="28" width="5.625" bestFit="1" customWidth="1"/>
  </cols>
  <sheetData>
    <row r="1" spans="1:37" ht="15" customHeight="1" x14ac:dyDescent="0.3">
      <c r="A1" s="1" t="s">
        <v>5</v>
      </c>
      <c r="B1" s="1"/>
      <c r="C1" s="2"/>
      <c r="D1" s="2"/>
      <c r="E1" s="2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  <c r="AA1" s="1"/>
    </row>
    <row r="2" spans="1:37" ht="15" customHeight="1" x14ac:dyDescent="0.3">
      <c r="A2" s="3" t="s">
        <v>106</v>
      </c>
      <c r="B2" s="1"/>
      <c r="C2" s="2"/>
      <c r="D2" s="2"/>
      <c r="E2" s="1"/>
      <c r="F2" s="1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  <c r="AA2" s="1"/>
    </row>
    <row r="3" spans="1:37" ht="15" customHeight="1" x14ac:dyDescent="0.3">
      <c r="A3" s="52"/>
      <c r="B3" s="53"/>
      <c r="C3" s="54"/>
      <c r="D3" s="54"/>
      <c r="E3" s="54"/>
      <c r="F3" s="53"/>
      <c r="G3" s="54"/>
      <c r="H3" s="55"/>
      <c r="I3" s="56" t="s">
        <v>1</v>
      </c>
      <c r="J3" s="56" t="s">
        <v>1</v>
      </c>
      <c r="K3" s="56" t="s">
        <v>1</v>
      </c>
      <c r="L3" s="56" t="s">
        <v>6</v>
      </c>
      <c r="M3" s="56" t="s">
        <v>7</v>
      </c>
      <c r="N3" s="56" t="s">
        <v>6</v>
      </c>
      <c r="O3" s="56" t="s">
        <v>8</v>
      </c>
      <c r="P3" s="56" t="s">
        <v>8</v>
      </c>
      <c r="Q3" s="56" t="s">
        <v>8</v>
      </c>
      <c r="R3" s="57" t="s">
        <v>9</v>
      </c>
      <c r="S3" s="53"/>
      <c r="T3" s="54"/>
      <c r="U3" s="53"/>
      <c r="V3" s="58"/>
      <c r="W3" s="1"/>
      <c r="X3" s="1"/>
      <c r="Y3" s="1"/>
      <c r="Z3" s="1"/>
      <c r="AA3" s="1"/>
    </row>
    <row r="4" spans="1:37" ht="15" customHeight="1" x14ac:dyDescent="0.3">
      <c r="A4" s="59"/>
      <c r="B4" s="4"/>
      <c r="C4" s="5"/>
      <c r="D4" s="5"/>
      <c r="E4" s="5"/>
      <c r="F4" s="4"/>
      <c r="G4" s="5"/>
      <c r="H4" s="6" t="s">
        <v>10</v>
      </c>
      <c r="I4" s="60" t="s">
        <v>11</v>
      </c>
      <c r="J4" s="60" t="s">
        <v>12</v>
      </c>
      <c r="K4" s="60" t="s">
        <v>13</v>
      </c>
      <c r="L4" s="60" t="s">
        <v>8</v>
      </c>
      <c r="M4" s="60" t="s">
        <v>8</v>
      </c>
      <c r="N4" s="60" t="s">
        <v>8</v>
      </c>
      <c r="O4" s="60" t="s">
        <v>12</v>
      </c>
      <c r="P4" s="60" t="s">
        <v>12</v>
      </c>
      <c r="Q4" s="60" t="s">
        <v>12</v>
      </c>
      <c r="R4" s="7" t="s">
        <v>12</v>
      </c>
      <c r="S4" s="4"/>
      <c r="T4" s="5"/>
      <c r="U4" s="4"/>
      <c r="V4" s="61"/>
      <c r="W4" s="1"/>
      <c r="X4" s="1"/>
      <c r="Y4" s="1"/>
      <c r="Z4" s="1"/>
      <c r="AA4" s="1"/>
    </row>
    <row r="5" spans="1:37" ht="15" customHeight="1" x14ac:dyDescent="0.3">
      <c r="A5" s="59"/>
      <c r="B5" s="4"/>
      <c r="C5" s="5"/>
      <c r="D5" s="8" t="s">
        <v>14</v>
      </c>
      <c r="E5" s="8" t="s">
        <v>15</v>
      </c>
      <c r="F5" s="4"/>
      <c r="G5" s="5" t="s">
        <v>16</v>
      </c>
      <c r="H5" s="6" t="s">
        <v>16</v>
      </c>
      <c r="I5" s="60" t="s">
        <v>9</v>
      </c>
      <c r="J5" s="60" t="s">
        <v>11</v>
      </c>
      <c r="K5" s="60" t="s">
        <v>17</v>
      </c>
      <c r="L5" s="60" t="s">
        <v>18</v>
      </c>
      <c r="M5" s="60" t="s">
        <v>9</v>
      </c>
      <c r="N5" s="60" t="s">
        <v>9</v>
      </c>
      <c r="O5" s="60" t="s">
        <v>18</v>
      </c>
      <c r="P5" s="60" t="s">
        <v>9</v>
      </c>
      <c r="Q5" s="60" t="s">
        <v>2</v>
      </c>
      <c r="R5" s="7" t="s">
        <v>2</v>
      </c>
      <c r="S5" s="9" t="s">
        <v>14</v>
      </c>
      <c r="T5" s="8" t="s">
        <v>14</v>
      </c>
      <c r="U5" s="9"/>
      <c r="V5" s="62"/>
      <c r="W5" s="1"/>
      <c r="X5" s="1"/>
      <c r="Y5" s="1"/>
      <c r="Z5" s="1"/>
      <c r="AA5" s="1"/>
    </row>
    <row r="6" spans="1:37" ht="15" customHeight="1" x14ac:dyDescent="0.3">
      <c r="A6" s="63" t="s">
        <v>19</v>
      </c>
      <c r="B6" s="10" t="s">
        <v>20</v>
      </c>
      <c r="C6" s="11" t="s">
        <v>21</v>
      </c>
      <c r="D6" s="11" t="s">
        <v>22</v>
      </c>
      <c r="E6" s="11" t="s">
        <v>22</v>
      </c>
      <c r="F6" s="10" t="s">
        <v>23</v>
      </c>
      <c r="G6" s="11" t="s">
        <v>24</v>
      </c>
      <c r="H6" s="12" t="s">
        <v>24</v>
      </c>
      <c r="I6" s="64"/>
      <c r="J6" s="64"/>
      <c r="K6" s="64"/>
      <c r="L6" s="64"/>
      <c r="M6" s="64"/>
      <c r="N6" s="64"/>
      <c r="O6" s="64"/>
      <c r="P6" s="64"/>
      <c r="Q6" s="65" t="s">
        <v>92</v>
      </c>
      <c r="R6" s="13"/>
      <c r="S6" s="10" t="s">
        <v>25</v>
      </c>
      <c r="T6" s="11" t="s">
        <v>37</v>
      </c>
      <c r="U6" s="10" t="s">
        <v>26</v>
      </c>
      <c r="V6" s="66" t="s">
        <v>27</v>
      </c>
      <c r="W6" s="3"/>
      <c r="X6" s="3"/>
      <c r="Y6" s="3"/>
      <c r="Z6" s="3"/>
      <c r="AA6" s="3"/>
    </row>
    <row r="7" spans="1:37" ht="15" customHeight="1" thickBot="1" x14ac:dyDescent="0.35">
      <c r="A7" s="67">
        <v>1</v>
      </c>
      <c r="B7" s="21" t="s">
        <v>28</v>
      </c>
      <c r="C7" s="22">
        <v>1</v>
      </c>
      <c r="D7" s="22" t="s">
        <v>129</v>
      </c>
      <c r="E7" s="22">
        <v>2</v>
      </c>
      <c r="F7" s="21" t="s">
        <v>142</v>
      </c>
      <c r="G7" s="22" t="s">
        <v>29</v>
      </c>
      <c r="H7" s="22" t="s">
        <v>29</v>
      </c>
      <c r="I7" s="21" t="s">
        <v>11</v>
      </c>
      <c r="J7" s="21" t="s">
        <v>11</v>
      </c>
      <c r="K7" s="21" t="s">
        <v>11</v>
      </c>
      <c r="L7" s="21" t="s">
        <v>11</v>
      </c>
      <c r="M7" s="21" t="s">
        <v>11</v>
      </c>
      <c r="N7" s="21" t="s">
        <v>11</v>
      </c>
      <c r="O7" s="21" t="s">
        <v>11</v>
      </c>
      <c r="P7" s="21" t="s">
        <v>11</v>
      </c>
      <c r="Q7" s="21" t="s">
        <v>11</v>
      </c>
      <c r="R7" s="21" t="s">
        <v>11</v>
      </c>
      <c r="S7" s="21"/>
      <c r="T7" s="22"/>
      <c r="U7" s="21" t="s">
        <v>30</v>
      </c>
      <c r="V7" s="68" t="s">
        <v>0</v>
      </c>
      <c r="W7" s="1"/>
      <c r="X7" s="1"/>
      <c r="Y7" s="1"/>
      <c r="Z7" s="1"/>
      <c r="AA7" s="1"/>
    </row>
    <row r="8" spans="1:37" ht="15" customHeight="1" thickTop="1" x14ac:dyDescent="0.3">
      <c r="A8" s="69">
        <v>2</v>
      </c>
      <c r="B8" s="23" t="s">
        <v>31</v>
      </c>
      <c r="C8" s="24" t="s">
        <v>100</v>
      </c>
      <c r="D8" s="25">
        <v>1</v>
      </c>
      <c r="E8" s="25" t="s">
        <v>0</v>
      </c>
      <c r="F8" s="23" t="s">
        <v>32</v>
      </c>
      <c r="G8" s="26">
        <v>7</v>
      </c>
      <c r="H8" s="26">
        <v>7</v>
      </c>
      <c r="I8" s="27"/>
      <c r="J8" s="27"/>
      <c r="K8" s="27"/>
      <c r="L8" s="27"/>
      <c r="M8" s="27"/>
      <c r="N8" s="27"/>
      <c r="O8" s="27"/>
      <c r="P8" s="27"/>
      <c r="Q8" s="27"/>
      <c r="R8" s="27" t="s">
        <v>17</v>
      </c>
      <c r="S8" s="27" t="s">
        <v>33</v>
      </c>
      <c r="T8" s="26" t="s">
        <v>1</v>
      </c>
      <c r="U8" s="27" t="s">
        <v>34</v>
      </c>
      <c r="V8" s="70" t="s">
        <v>35</v>
      </c>
      <c r="W8" s="1">
        <f>SUM(G8)</f>
        <v>7</v>
      </c>
      <c r="X8" s="1"/>
      <c r="Y8" s="1">
        <f>SUM(G8)</f>
        <v>7</v>
      </c>
      <c r="Z8" s="1"/>
      <c r="AA8" s="1">
        <f>SUM(G8)</f>
        <v>7</v>
      </c>
    </row>
    <row r="9" spans="1:37" ht="15" customHeight="1" x14ac:dyDescent="0.3">
      <c r="A9" s="71"/>
      <c r="B9" s="28"/>
      <c r="C9" s="29"/>
      <c r="D9" s="29"/>
      <c r="E9" s="29"/>
      <c r="F9" s="28"/>
      <c r="G9" s="30">
        <v>13</v>
      </c>
      <c r="H9" s="30">
        <f t="shared" ref="H9:H14" si="0">G9+H8</f>
        <v>20</v>
      </c>
      <c r="I9" s="31"/>
      <c r="J9" s="31"/>
      <c r="K9" s="31"/>
      <c r="L9" s="31"/>
      <c r="M9" s="31" t="s">
        <v>17</v>
      </c>
      <c r="N9" s="31"/>
      <c r="O9" s="31"/>
      <c r="P9" s="31"/>
      <c r="Q9" s="31"/>
      <c r="R9" s="31" t="s">
        <v>17</v>
      </c>
      <c r="S9" s="31"/>
      <c r="T9" s="30"/>
      <c r="U9" s="31"/>
      <c r="V9" s="72" t="s">
        <v>0</v>
      </c>
      <c r="W9" s="1"/>
      <c r="X9" s="1"/>
      <c r="Y9" s="1"/>
      <c r="Z9" s="1"/>
      <c r="AA9" s="1"/>
    </row>
    <row r="10" spans="1:37" ht="15" customHeight="1" x14ac:dyDescent="0.3">
      <c r="A10" s="71"/>
      <c r="B10" s="28"/>
      <c r="C10" s="29"/>
      <c r="D10" s="29"/>
      <c r="E10" s="29"/>
      <c r="F10" s="28"/>
      <c r="G10" s="30">
        <v>15</v>
      </c>
      <c r="H10" s="30">
        <f t="shared" si="0"/>
        <v>35</v>
      </c>
      <c r="I10" s="31"/>
      <c r="J10" s="31"/>
      <c r="K10" s="31"/>
      <c r="L10" s="31"/>
      <c r="M10" s="31" t="s">
        <v>11</v>
      </c>
      <c r="N10" s="31"/>
      <c r="O10" s="31"/>
      <c r="P10" s="31"/>
      <c r="Q10" s="31"/>
      <c r="R10" s="31" t="s">
        <v>17</v>
      </c>
      <c r="S10" s="31"/>
      <c r="T10" s="30"/>
      <c r="U10" s="31"/>
      <c r="V10" s="72" t="s">
        <v>0</v>
      </c>
      <c r="W10" s="1"/>
      <c r="X10" s="1"/>
      <c r="Y10" s="1"/>
      <c r="Z10" s="1"/>
      <c r="AA10" s="1"/>
    </row>
    <row r="11" spans="1:37" ht="15" customHeight="1" x14ac:dyDescent="0.3">
      <c r="A11" s="71"/>
      <c r="B11" s="28"/>
      <c r="C11" s="29"/>
      <c r="D11" s="29"/>
      <c r="E11" s="29"/>
      <c r="F11" s="28"/>
      <c r="G11" s="30">
        <v>13</v>
      </c>
      <c r="H11" s="30">
        <f t="shared" si="0"/>
        <v>48</v>
      </c>
      <c r="I11" s="31"/>
      <c r="J11" s="31"/>
      <c r="K11" s="31"/>
      <c r="L11" s="31" t="s">
        <v>17</v>
      </c>
      <c r="M11" s="31"/>
      <c r="N11" s="31"/>
      <c r="O11" s="31"/>
      <c r="P11" s="31"/>
      <c r="Q11" s="31"/>
      <c r="R11" s="31" t="s">
        <v>17</v>
      </c>
      <c r="S11" s="31"/>
      <c r="T11" s="30"/>
      <c r="U11" s="31"/>
      <c r="V11" s="72" t="s">
        <v>0</v>
      </c>
      <c r="W11" s="1"/>
      <c r="X11" s="1"/>
      <c r="Y11" s="1"/>
      <c r="Z11" s="1"/>
      <c r="AA11" s="1"/>
    </row>
    <row r="12" spans="1:37" ht="15" customHeight="1" x14ac:dyDescent="0.3">
      <c r="A12" s="71"/>
      <c r="B12" s="28"/>
      <c r="C12" s="29"/>
      <c r="D12" s="29"/>
      <c r="E12" s="29"/>
      <c r="F12" s="28"/>
      <c r="G12" s="30">
        <v>2</v>
      </c>
      <c r="H12" s="30">
        <f t="shared" si="0"/>
        <v>50</v>
      </c>
      <c r="I12" s="31"/>
      <c r="J12" s="31"/>
      <c r="K12" s="31"/>
      <c r="L12" s="31" t="s">
        <v>11</v>
      </c>
      <c r="M12" s="31"/>
      <c r="N12" s="31"/>
      <c r="O12" s="31"/>
      <c r="P12" s="31"/>
      <c r="Q12" s="31"/>
      <c r="R12" s="31" t="s">
        <v>17</v>
      </c>
      <c r="S12" s="31"/>
      <c r="T12" s="30"/>
      <c r="U12" s="31"/>
      <c r="V12" s="72" t="s">
        <v>0</v>
      </c>
      <c r="W12" s="1">
        <f>SUM(G9:G12)*15</f>
        <v>645</v>
      </c>
      <c r="X12" s="1"/>
      <c r="Y12" s="1">
        <f>SUM(G9:G12)*15</f>
        <v>645</v>
      </c>
      <c r="Z12" s="1"/>
      <c r="AA12" s="1">
        <f>SUM(G9:G12)*15</f>
        <v>645</v>
      </c>
    </row>
    <row r="13" spans="1:37" ht="15" customHeight="1" x14ac:dyDescent="0.3">
      <c r="A13" s="71"/>
      <c r="B13" s="28"/>
      <c r="C13" s="29"/>
      <c r="D13" s="29"/>
      <c r="E13" s="29"/>
      <c r="F13" s="28"/>
      <c r="G13" s="32">
        <v>2</v>
      </c>
      <c r="H13" s="30">
        <f t="shared" si="0"/>
        <v>52</v>
      </c>
      <c r="I13" s="33"/>
      <c r="J13" s="33"/>
      <c r="K13" s="33"/>
      <c r="L13" s="33"/>
      <c r="M13" s="33"/>
      <c r="N13" s="33"/>
      <c r="O13" s="33"/>
      <c r="P13" s="33"/>
      <c r="Q13" s="33"/>
      <c r="R13" s="33" t="s">
        <v>11</v>
      </c>
      <c r="S13" s="33"/>
      <c r="T13" s="32"/>
      <c r="U13" s="33"/>
      <c r="V13" s="73" t="s">
        <v>0</v>
      </c>
      <c r="W13" s="1">
        <f t="shared" ref="W13:W14" si="1">SUM(G13)</f>
        <v>2</v>
      </c>
      <c r="X13" s="1"/>
      <c r="Y13" s="1">
        <f t="shared" ref="Y13:Y14" si="2">SUM(G13)</f>
        <v>2</v>
      </c>
      <c r="Z13" s="1"/>
      <c r="AA13" s="1">
        <f t="shared" ref="AA13:AA14" si="3">SUM(G13)</f>
        <v>2</v>
      </c>
    </row>
    <row r="14" spans="1:37" ht="15" customHeight="1" thickBot="1" x14ac:dyDescent="0.35">
      <c r="A14" s="74"/>
      <c r="B14" s="34"/>
      <c r="C14" s="35"/>
      <c r="D14" s="35"/>
      <c r="E14" s="35"/>
      <c r="F14" s="34"/>
      <c r="G14" s="22">
        <v>10</v>
      </c>
      <c r="H14" s="50">
        <f t="shared" si="0"/>
        <v>62</v>
      </c>
      <c r="I14" s="49" t="s">
        <v>0</v>
      </c>
      <c r="J14" s="49" t="s">
        <v>0</v>
      </c>
      <c r="K14" s="49" t="s">
        <v>0</v>
      </c>
      <c r="L14" s="49" t="s">
        <v>0</v>
      </c>
      <c r="M14" s="49" t="s">
        <v>0</v>
      </c>
      <c r="N14" s="49" t="s">
        <v>0</v>
      </c>
      <c r="O14" s="49" t="s">
        <v>0</v>
      </c>
      <c r="P14" s="49" t="s">
        <v>0</v>
      </c>
      <c r="Q14" s="49" t="s">
        <v>0</v>
      </c>
      <c r="R14" s="49" t="s">
        <v>0</v>
      </c>
      <c r="S14" s="49" t="s">
        <v>131</v>
      </c>
      <c r="T14" s="50" t="s">
        <v>1</v>
      </c>
      <c r="U14" s="49" t="s">
        <v>110</v>
      </c>
      <c r="V14" s="75" t="s">
        <v>122</v>
      </c>
      <c r="W14" s="1">
        <f t="shared" si="1"/>
        <v>10</v>
      </c>
      <c r="X14" s="1"/>
      <c r="Y14" s="1">
        <f t="shared" si="2"/>
        <v>10</v>
      </c>
      <c r="Z14" s="1"/>
      <c r="AA14" s="1">
        <f t="shared" si="3"/>
        <v>10</v>
      </c>
    </row>
    <row r="15" spans="1:37" s="19" customFormat="1" ht="15" customHeight="1" thickTop="1" x14ac:dyDescent="0.3">
      <c r="A15" s="69">
        <v>3</v>
      </c>
      <c r="B15" s="23" t="s">
        <v>36</v>
      </c>
      <c r="C15" s="25">
        <v>1</v>
      </c>
      <c r="D15" s="25">
        <v>1</v>
      </c>
      <c r="E15" s="25" t="s">
        <v>129</v>
      </c>
      <c r="F15" s="23" t="s">
        <v>65</v>
      </c>
      <c r="G15" s="26">
        <v>7</v>
      </c>
      <c r="H15" s="26">
        <f>G15</f>
        <v>7</v>
      </c>
      <c r="I15" s="27"/>
      <c r="J15" s="27"/>
      <c r="K15" s="27"/>
      <c r="L15" s="27"/>
      <c r="M15" s="27"/>
      <c r="N15" s="27"/>
      <c r="O15" s="27"/>
      <c r="P15" s="27"/>
      <c r="Q15" s="27"/>
      <c r="R15" s="27" t="s">
        <v>17</v>
      </c>
      <c r="S15" s="27" t="s">
        <v>33</v>
      </c>
      <c r="T15" s="26" t="s">
        <v>1</v>
      </c>
      <c r="U15" s="27" t="s">
        <v>34</v>
      </c>
      <c r="V15" s="70" t="s">
        <v>38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19" customFormat="1" ht="15" customHeight="1" x14ac:dyDescent="0.3">
      <c r="A16" s="71"/>
      <c r="B16" s="28"/>
      <c r="C16" s="29"/>
      <c r="D16" s="29"/>
      <c r="E16" s="29"/>
      <c r="F16" s="28"/>
      <c r="G16" s="30">
        <v>7</v>
      </c>
      <c r="H16" s="30">
        <f t="shared" ref="H16:H19" si="4">G16+H15</f>
        <v>14</v>
      </c>
      <c r="I16" s="31"/>
      <c r="J16" s="31"/>
      <c r="K16" s="31"/>
      <c r="L16" s="31" t="s">
        <v>17</v>
      </c>
      <c r="M16" s="31" t="s">
        <v>17</v>
      </c>
      <c r="N16" s="31"/>
      <c r="O16" s="31"/>
      <c r="P16" s="31"/>
      <c r="Q16" s="31"/>
      <c r="R16" s="31" t="s">
        <v>17</v>
      </c>
      <c r="S16" s="31" t="s">
        <v>3</v>
      </c>
      <c r="T16" s="30" t="s">
        <v>1</v>
      </c>
      <c r="U16" s="31" t="s">
        <v>91</v>
      </c>
      <c r="V16" s="72" t="s">
        <v>122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19" customFormat="1" ht="15" customHeight="1" x14ac:dyDescent="0.3">
      <c r="A17" s="71"/>
      <c r="B17" s="28"/>
      <c r="C17" s="29"/>
      <c r="D17" s="29"/>
      <c r="E17" s="29"/>
      <c r="F17" s="28"/>
      <c r="G17" s="30">
        <v>2</v>
      </c>
      <c r="H17" s="30">
        <f t="shared" si="4"/>
        <v>16</v>
      </c>
      <c r="I17" s="31"/>
      <c r="J17" s="31"/>
      <c r="K17" s="31"/>
      <c r="L17" s="31" t="s">
        <v>11</v>
      </c>
      <c r="M17" s="31" t="s">
        <v>11</v>
      </c>
      <c r="N17" s="31"/>
      <c r="O17" s="31"/>
      <c r="P17" s="31"/>
      <c r="Q17" s="31"/>
      <c r="R17" s="31" t="s">
        <v>17</v>
      </c>
      <c r="S17" s="31"/>
      <c r="T17" s="30"/>
      <c r="U17" s="31"/>
      <c r="V17" s="7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19" customFormat="1" ht="15" customHeight="1" x14ac:dyDescent="0.3">
      <c r="A18" s="71"/>
      <c r="B18" s="28"/>
      <c r="C18" s="29"/>
      <c r="D18" s="29"/>
      <c r="E18" s="29"/>
      <c r="F18" s="28"/>
      <c r="G18" s="30">
        <v>2</v>
      </c>
      <c r="H18" s="30">
        <f t="shared" si="4"/>
        <v>18</v>
      </c>
      <c r="I18" s="31"/>
      <c r="J18" s="31"/>
      <c r="K18" s="31"/>
      <c r="L18" s="31"/>
      <c r="M18" s="31"/>
      <c r="N18" s="31"/>
      <c r="O18" s="31"/>
      <c r="P18" s="31"/>
      <c r="Q18" s="31"/>
      <c r="R18" s="31" t="s">
        <v>11</v>
      </c>
      <c r="S18" s="31"/>
      <c r="T18" s="30"/>
      <c r="U18" s="31"/>
      <c r="V18" s="72" t="s"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19" customFormat="1" ht="15" customHeight="1" thickBot="1" x14ac:dyDescent="0.35">
      <c r="A19" s="74"/>
      <c r="B19" s="34"/>
      <c r="C19" s="35"/>
      <c r="D19" s="35"/>
      <c r="E19" s="35"/>
      <c r="F19" s="34"/>
      <c r="G19" s="22">
        <v>180</v>
      </c>
      <c r="H19" s="22">
        <f t="shared" si="4"/>
        <v>198</v>
      </c>
      <c r="I19" s="21" t="s">
        <v>0</v>
      </c>
      <c r="J19" s="21" t="s">
        <v>0</v>
      </c>
      <c r="K19" s="21" t="s">
        <v>0</v>
      </c>
      <c r="L19" s="21" t="s">
        <v>0</v>
      </c>
      <c r="M19" s="21" t="s">
        <v>0</v>
      </c>
      <c r="N19" s="21" t="s">
        <v>0</v>
      </c>
      <c r="O19" s="21" t="s">
        <v>0</v>
      </c>
      <c r="P19" s="21" t="s">
        <v>0</v>
      </c>
      <c r="Q19" s="21" t="s">
        <v>0</v>
      </c>
      <c r="R19" s="21" t="s">
        <v>0</v>
      </c>
      <c r="S19" s="31" t="s">
        <v>3</v>
      </c>
      <c r="T19" s="30" t="s">
        <v>1</v>
      </c>
      <c r="U19" s="31" t="s">
        <v>91</v>
      </c>
      <c r="V19" s="72" t="s">
        <v>122</v>
      </c>
      <c r="W19" s="1">
        <f>SUM(G15:G19)</f>
        <v>198</v>
      </c>
      <c r="X19" s="1"/>
      <c r="Y19" s="1">
        <f>SUM(G15:G19)</f>
        <v>198</v>
      </c>
      <c r="Z19" s="1"/>
      <c r="AA19" s="1">
        <f>SUM(G15:G19)</f>
        <v>198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19" customFormat="1" ht="15" customHeight="1" thickTop="1" thickBot="1" x14ac:dyDescent="0.35">
      <c r="A20" s="76">
        <v>4</v>
      </c>
      <c r="B20" s="36" t="s">
        <v>114</v>
      </c>
      <c r="C20" s="37">
        <v>1</v>
      </c>
      <c r="D20" s="37" t="s">
        <v>129</v>
      </c>
      <c r="E20" s="37">
        <v>5</v>
      </c>
      <c r="F20" s="36" t="s">
        <v>144</v>
      </c>
      <c r="G20" s="37" t="s">
        <v>29</v>
      </c>
      <c r="H20" s="37" t="s">
        <v>29</v>
      </c>
      <c r="I20" s="36" t="s">
        <v>0</v>
      </c>
      <c r="J20" s="36" t="s">
        <v>0</v>
      </c>
      <c r="K20" s="36" t="s">
        <v>0</v>
      </c>
      <c r="L20" s="36" t="s">
        <v>0</v>
      </c>
      <c r="M20" s="36" t="s">
        <v>0</v>
      </c>
      <c r="N20" s="36" t="s">
        <v>0</v>
      </c>
      <c r="O20" s="36" t="s">
        <v>0</v>
      </c>
      <c r="P20" s="36" t="s">
        <v>0</v>
      </c>
      <c r="Q20" s="36" t="s">
        <v>0</v>
      </c>
      <c r="R20" s="36" t="s">
        <v>0</v>
      </c>
      <c r="S20" s="36"/>
      <c r="T20" s="37"/>
      <c r="U20" s="36" t="s">
        <v>30</v>
      </c>
      <c r="V20" s="77" t="s">
        <v>0</v>
      </c>
      <c r="W20" s="1"/>
      <c r="X20" s="1"/>
      <c r="Y20" s="1"/>
      <c r="Z20" s="1"/>
      <c r="AA20" s="1"/>
    </row>
    <row r="21" spans="1:37" ht="15" customHeight="1" thickTop="1" thickBot="1" x14ac:dyDescent="0.35">
      <c r="A21" s="76">
        <v>5</v>
      </c>
      <c r="B21" s="36" t="s">
        <v>88</v>
      </c>
      <c r="C21" s="37">
        <v>1</v>
      </c>
      <c r="D21" s="37" t="s">
        <v>129</v>
      </c>
      <c r="E21" s="37">
        <v>6</v>
      </c>
      <c r="F21" s="36" t="s">
        <v>145</v>
      </c>
      <c r="G21" s="37" t="s">
        <v>29</v>
      </c>
      <c r="H21" s="37" t="s">
        <v>29</v>
      </c>
      <c r="I21" s="36" t="s">
        <v>0</v>
      </c>
      <c r="J21" s="36" t="s">
        <v>0</v>
      </c>
      <c r="K21" s="36" t="s">
        <v>0</v>
      </c>
      <c r="L21" s="36" t="s">
        <v>0</v>
      </c>
      <c r="M21" s="36" t="s">
        <v>0</v>
      </c>
      <c r="N21" s="36" t="s">
        <v>0</v>
      </c>
      <c r="O21" s="36" t="s">
        <v>0</v>
      </c>
      <c r="P21" s="36" t="s">
        <v>0</v>
      </c>
      <c r="Q21" s="36" t="s">
        <v>0</v>
      </c>
      <c r="R21" s="36" t="s">
        <v>0</v>
      </c>
      <c r="S21" s="36"/>
      <c r="T21" s="37"/>
      <c r="U21" s="36" t="s">
        <v>30</v>
      </c>
      <c r="V21" s="77" t="s">
        <v>0</v>
      </c>
      <c r="W21" s="1"/>
      <c r="X21" s="1"/>
      <c r="Y21" s="1"/>
      <c r="Z21" s="1"/>
      <c r="AA21" s="1"/>
    </row>
    <row r="22" spans="1:37" ht="15" customHeight="1" thickTop="1" x14ac:dyDescent="0.3">
      <c r="A22" s="69">
        <v>6</v>
      </c>
      <c r="B22" s="23" t="s">
        <v>44</v>
      </c>
      <c r="C22" s="25" t="s">
        <v>100</v>
      </c>
      <c r="D22" s="25">
        <v>6</v>
      </c>
      <c r="E22" s="25" t="s">
        <v>0</v>
      </c>
      <c r="F22" s="23" t="s">
        <v>45</v>
      </c>
      <c r="G22" s="26">
        <v>7</v>
      </c>
      <c r="H22" s="26">
        <f>G22</f>
        <v>7</v>
      </c>
      <c r="I22" s="27"/>
      <c r="J22" s="27"/>
      <c r="K22" s="27"/>
      <c r="L22" s="27" t="s">
        <v>17</v>
      </c>
      <c r="M22" s="27"/>
      <c r="N22" s="27"/>
      <c r="O22" s="27"/>
      <c r="P22" s="27"/>
      <c r="Q22" s="27"/>
      <c r="R22" s="27" t="s">
        <v>17</v>
      </c>
      <c r="S22" s="27" t="s">
        <v>33</v>
      </c>
      <c r="T22" s="30" t="s">
        <v>1</v>
      </c>
      <c r="U22" s="27" t="s">
        <v>34</v>
      </c>
      <c r="V22" s="70" t="s">
        <v>146</v>
      </c>
      <c r="W22" s="1"/>
      <c r="X22" s="1"/>
      <c r="Y22" s="1"/>
      <c r="Z22" s="1"/>
      <c r="AA22" s="1"/>
    </row>
    <row r="23" spans="1:37" ht="15" customHeight="1" x14ac:dyDescent="0.3">
      <c r="A23" s="71"/>
      <c r="B23" s="28"/>
      <c r="C23" s="29"/>
      <c r="D23" s="29"/>
      <c r="E23" s="29"/>
      <c r="F23" s="28"/>
      <c r="G23" s="107">
        <v>6</v>
      </c>
      <c r="H23" s="30">
        <f t="shared" ref="H23:H29" si="5">G23+H22</f>
        <v>13</v>
      </c>
      <c r="I23" s="31"/>
      <c r="J23" s="31"/>
      <c r="K23" s="31"/>
      <c r="L23" s="31" t="s">
        <v>17</v>
      </c>
      <c r="M23" s="31" t="s">
        <v>17</v>
      </c>
      <c r="N23" s="31"/>
      <c r="O23" s="31"/>
      <c r="P23" s="31"/>
      <c r="Q23" s="31"/>
      <c r="R23" s="31" t="s">
        <v>17</v>
      </c>
      <c r="S23" s="31" t="s">
        <v>3</v>
      </c>
      <c r="T23" s="30" t="s">
        <v>1</v>
      </c>
      <c r="U23" s="31" t="s">
        <v>91</v>
      </c>
      <c r="V23" s="72" t="s">
        <v>122</v>
      </c>
      <c r="W23" s="1"/>
      <c r="X23" s="1"/>
      <c r="Y23" s="1"/>
      <c r="Z23" s="1"/>
      <c r="AA23" s="1"/>
    </row>
    <row r="24" spans="1:37" ht="15" customHeight="1" x14ac:dyDescent="0.3">
      <c r="A24" s="71"/>
      <c r="B24" s="28"/>
      <c r="C24" s="29"/>
      <c r="D24" s="29"/>
      <c r="E24" s="29"/>
      <c r="F24" s="28"/>
      <c r="G24" s="30">
        <v>2</v>
      </c>
      <c r="H24" s="30">
        <f t="shared" si="5"/>
        <v>15</v>
      </c>
      <c r="I24" s="31"/>
      <c r="J24" s="31"/>
      <c r="K24" s="31"/>
      <c r="L24" s="31" t="s">
        <v>17</v>
      </c>
      <c r="M24" s="31" t="s">
        <v>11</v>
      </c>
      <c r="N24" s="31"/>
      <c r="O24" s="31"/>
      <c r="P24" s="31"/>
      <c r="Q24" s="31"/>
      <c r="R24" s="31" t="s">
        <v>17</v>
      </c>
      <c r="S24" s="31"/>
      <c r="T24" s="30"/>
      <c r="U24" s="31"/>
      <c r="V24" s="72" t="s">
        <v>0</v>
      </c>
      <c r="W24" s="1"/>
      <c r="X24" s="1"/>
      <c r="Y24" s="1"/>
      <c r="Z24" s="1"/>
      <c r="AA24" s="1"/>
    </row>
    <row r="25" spans="1:37" ht="15" customHeight="1" x14ac:dyDescent="0.3">
      <c r="A25" s="71"/>
      <c r="B25" s="28"/>
      <c r="C25" s="29"/>
      <c r="D25" s="29"/>
      <c r="E25" s="29"/>
      <c r="F25" s="28"/>
      <c r="G25" s="30">
        <v>2</v>
      </c>
      <c r="H25" s="30">
        <f t="shared" si="5"/>
        <v>17</v>
      </c>
      <c r="I25" s="31"/>
      <c r="J25" s="31"/>
      <c r="K25" s="31"/>
      <c r="L25" s="31" t="s">
        <v>17</v>
      </c>
      <c r="M25" s="31"/>
      <c r="N25" s="31"/>
      <c r="O25" s="31"/>
      <c r="P25" s="31"/>
      <c r="Q25" s="31"/>
      <c r="R25" s="31" t="s">
        <v>11</v>
      </c>
      <c r="S25" s="31"/>
      <c r="T25" s="30"/>
      <c r="U25" s="31"/>
      <c r="V25" s="72" t="s">
        <v>0</v>
      </c>
      <c r="W25" s="1"/>
      <c r="X25" s="1"/>
      <c r="Y25" s="1"/>
      <c r="Z25" s="1"/>
      <c r="AA25" s="1"/>
    </row>
    <row r="26" spans="1:37" ht="15" customHeight="1" x14ac:dyDescent="0.3">
      <c r="A26" s="71"/>
      <c r="B26" s="28"/>
      <c r="C26" s="29"/>
      <c r="D26" s="29"/>
      <c r="E26" s="29"/>
      <c r="F26" s="28"/>
      <c r="G26" s="30">
        <v>2</v>
      </c>
      <c r="H26" s="30">
        <f t="shared" si="5"/>
        <v>19</v>
      </c>
      <c r="I26" s="31"/>
      <c r="J26" s="31"/>
      <c r="K26" s="31"/>
      <c r="L26" s="31" t="s">
        <v>17</v>
      </c>
      <c r="M26" s="31"/>
      <c r="N26" s="31"/>
      <c r="O26" s="31"/>
      <c r="P26" s="31" t="s">
        <v>17</v>
      </c>
      <c r="Q26" s="31" t="s">
        <v>17</v>
      </c>
      <c r="R26" s="31"/>
      <c r="S26" s="31"/>
      <c r="T26" s="30"/>
      <c r="U26" s="33"/>
      <c r="V26" s="72" t="s">
        <v>0</v>
      </c>
      <c r="W26" s="1"/>
      <c r="X26" s="1"/>
      <c r="Y26" s="1"/>
      <c r="Z26" s="1"/>
      <c r="AA26" s="1"/>
    </row>
    <row r="27" spans="1:37" ht="15" customHeight="1" x14ac:dyDescent="0.3">
      <c r="A27" s="71"/>
      <c r="B27" s="28"/>
      <c r="C27" s="29"/>
      <c r="D27" s="29"/>
      <c r="E27" s="29"/>
      <c r="F27" s="28"/>
      <c r="G27" s="107">
        <v>10</v>
      </c>
      <c r="H27" s="30">
        <f t="shared" si="5"/>
        <v>29</v>
      </c>
      <c r="I27" s="31"/>
      <c r="J27" s="31"/>
      <c r="K27" s="31"/>
      <c r="L27" s="31" t="s">
        <v>17</v>
      </c>
      <c r="M27" s="31"/>
      <c r="N27" s="31"/>
      <c r="O27" s="31" t="s">
        <v>17</v>
      </c>
      <c r="P27" s="31" t="s">
        <v>17</v>
      </c>
      <c r="Q27" s="31" t="s">
        <v>17</v>
      </c>
      <c r="R27" s="31"/>
      <c r="S27" s="31" t="s">
        <v>118</v>
      </c>
      <c r="T27" s="30" t="s">
        <v>43</v>
      </c>
      <c r="U27" s="31" t="s">
        <v>119</v>
      </c>
      <c r="V27" s="72" t="s">
        <v>120</v>
      </c>
      <c r="W27" s="1"/>
      <c r="X27" s="1"/>
      <c r="Y27" s="1"/>
      <c r="Z27" s="1"/>
      <c r="AA27" s="1"/>
    </row>
    <row r="28" spans="1:37" ht="15" customHeight="1" x14ac:dyDescent="0.3">
      <c r="A28" s="71"/>
      <c r="B28" s="28"/>
      <c r="C28" s="29"/>
      <c r="D28" s="29"/>
      <c r="E28" s="29"/>
      <c r="F28" s="28"/>
      <c r="G28" s="30">
        <v>2</v>
      </c>
      <c r="H28" s="30">
        <f t="shared" si="5"/>
        <v>31</v>
      </c>
      <c r="I28" s="31"/>
      <c r="J28" s="31"/>
      <c r="K28" s="31"/>
      <c r="L28" s="31" t="s">
        <v>17</v>
      </c>
      <c r="M28" s="31"/>
      <c r="N28" s="31"/>
      <c r="O28" s="31" t="s">
        <v>11</v>
      </c>
      <c r="P28" s="31" t="s">
        <v>17</v>
      </c>
      <c r="Q28" s="31" t="s">
        <v>17</v>
      </c>
      <c r="R28" s="31"/>
      <c r="S28" s="31"/>
      <c r="T28" s="32"/>
      <c r="U28" s="33"/>
      <c r="V28" s="72" t="s">
        <v>0</v>
      </c>
      <c r="W28" s="1"/>
      <c r="X28" s="1"/>
      <c r="Y28" s="1"/>
      <c r="Z28" s="1"/>
      <c r="AA28" s="1"/>
    </row>
    <row r="29" spans="1:37" ht="15" customHeight="1" thickBot="1" x14ac:dyDescent="0.35">
      <c r="A29" s="74"/>
      <c r="B29" s="34"/>
      <c r="C29" s="35"/>
      <c r="D29" s="35"/>
      <c r="E29" s="35"/>
      <c r="F29" s="34"/>
      <c r="G29" s="22">
        <v>2</v>
      </c>
      <c r="H29" s="30">
        <f t="shared" si="5"/>
        <v>33</v>
      </c>
      <c r="I29" s="21"/>
      <c r="J29" s="21"/>
      <c r="K29" s="21"/>
      <c r="L29" s="21" t="s">
        <v>17</v>
      </c>
      <c r="M29" s="21"/>
      <c r="N29" s="21"/>
      <c r="O29" s="21"/>
      <c r="P29" s="21" t="s">
        <v>98</v>
      </c>
      <c r="Q29" s="21" t="s">
        <v>98</v>
      </c>
      <c r="R29" s="21"/>
      <c r="S29" s="21"/>
      <c r="T29" s="22"/>
      <c r="U29" s="21"/>
      <c r="V29" s="68" t="s">
        <v>0</v>
      </c>
      <c r="W29" s="1">
        <f>SUM($G$22:$G$29)*2</f>
        <v>66</v>
      </c>
      <c r="X29" s="1"/>
      <c r="Y29" s="1">
        <f>SUM($G$22:$G$29)*10</f>
        <v>330</v>
      </c>
      <c r="Z29" s="1"/>
      <c r="AA29" s="1">
        <f>SUM($G$22:$G$29)*60</f>
        <v>1980</v>
      </c>
    </row>
    <row r="30" spans="1:37" ht="15" customHeight="1" thickTop="1" x14ac:dyDescent="0.3">
      <c r="A30" s="69">
        <v>7</v>
      </c>
      <c r="B30" s="23" t="s">
        <v>148</v>
      </c>
      <c r="C30" s="25">
        <v>1</v>
      </c>
      <c r="D30" s="25" t="s">
        <v>129</v>
      </c>
      <c r="E30" s="25" t="s">
        <v>0</v>
      </c>
      <c r="F30" s="23" t="s">
        <v>48</v>
      </c>
      <c r="G30" s="108">
        <v>6</v>
      </c>
      <c r="H30" s="38">
        <f>G30</f>
        <v>6</v>
      </c>
      <c r="I30" s="39"/>
      <c r="J30" s="39"/>
      <c r="K30" s="39"/>
      <c r="L30" s="39" t="s">
        <v>17</v>
      </c>
      <c r="M30" s="39" t="s">
        <v>17</v>
      </c>
      <c r="N30" s="39"/>
      <c r="O30" s="39"/>
      <c r="P30" s="39"/>
      <c r="Q30" s="39"/>
      <c r="R30" s="39"/>
      <c r="S30" s="39"/>
      <c r="T30" s="38"/>
      <c r="U30" s="39"/>
      <c r="V30" s="78" t="s">
        <v>0</v>
      </c>
      <c r="W30" s="1"/>
      <c r="X30" s="1"/>
      <c r="Y30" s="1"/>
      <c r="Z30" s="1"/>
      <c r="AA30" s="1"/>
    </row>
    <row r="31" spans="1:37" ht="15" customHeight="1" thickBot="1" x14ac:dyDescent="0.35">
      <c r="A31" s="74"/>
      <c r="B31" s="34"/>
      <c r="C31" s="35"/>
      <c r="D31" s="35"/>
      <c r="E31" s="35"/>
      <c r="F31" s="34"/>
      <c r="G31" s="22">
        <v>2</v>
      </c>
      <c r="H31" s="22">
        <f>G31+H30</f>
        <v>8</v>
      </c>
      <c r="I31" s="21"/>
      <c r="J31" s="21"/>
      <c r="K31" s="21"/>
      <c r="L31" s="21" t="s">
        <v>11</v>
      </c>
      <c r="M31" s="21" t="s">
        <v>11</v>
      </c>
      <c r="N31" s="21"/>
      <c r="O31" s="21"/>
      <c r="P31" s="21"/>
      <c r="Q31" s="21"/>
      <c r="R31" s="21"/>
      <c r="S31" s="21"/>
      <c r="T31" s="35"/>
      <c r="U31" s="21"/>
      <c r="V31" s="68" t="s">
        <v>0</v>
      </c>
      <c r="W31" s="1">
        <f>SUM($G$30:$G$31)</f>
        <v>8</v>
      </c>
      <c r="X31" s="1"/>
      <c r="Y31" s="1">
        <f t="shared" ref="Y31" si="6">SUM($G$30:$G$31)</f>
        <v>8</v>
      </c>
      <c r="Z31" s="1"/>
      <c r="AA31" s="1">
        <f>SUM($G$30:$G$31)</f>
        <v>8</v>
      </c>
    </row>
    <row r="32" spans="1:37" ht="15" customHeight="1" thickTop="1" x14ac:dyDescent="0.3">
      <c r="A32" s="69">
        <v>8</v>
      </c>
      <c r="B32" s="23" t="s">
        <v>49</v>
      </c>
      <c r="C32" s="25">
        <v>1</v>
      </c>
      <c r="D32" s="25" t="s">
        <v>129</v>
      </c>
      <c r="E32" s="25">
        <v>9</v>
      </c>
      <c r="F32" s="23" t="s">
        <v>147</v>
      </c>
      <c r="G32" s="25" t="s">
        <v>29</v>
      </c>
      <c r="H32" s="25" t="s">
        <v>29</v>
      </c>
      <c r="I32" s="23" t="s">
        <v>0</v>
      </c>
      <c r="J32" s="23" t="s">
        <v>0</v>
      </c>
      <c r="K32" s="23" t="s">
        <v>0</v>
      </c>
      <c r="L32" s="23" t="s">
        <v>17</v>
      </c>
      <c r="M32" s="23" t="s">
        <v>0</v>
      </c>
      <c r="N32" s="23" t="s">
        <v>0</v>
      </c>
      <c r="O32" s="23" t="s">
        <v>17</v>
      </c>
      <c r="P32" s="23" t="s">
        <v>17</v>
      </c>
      <c r="Q32" s="23" t="s">
        <v>0</v>
      </c>
      <c r="R32" s="23" t="s">
        <v>0</v>
      </c>
      <c r="S32" s="23"/>
      <c r="T32" s="26"/>
      <c r="U32" s="23" t="s">
        <v>30</v>
      </c>
      <c r="V32" s="81" t="s">
        <v>0</v>
      </c>
      <c r="W32" s="1"/>
      <c r="X32" s="1"/>
      <c r="Y32" s="1"/>
      <c r="Z32" s="1"/>
      <c r="AA32" s="1"/>
    </row>
    <row r="33" spans="1:30" ht="15" customHeight="1" thickBot="1" x14ac:dyDescent="0.35">
      <c r="A33" s="74"/>
      <c r="B33" s="34"/>
      <c r="C33" s="35"/>
      <c r="D33" s="35"/>
      <c r="E33" s="35"/>
      <c r="F33" s="34"/>
      <c r="G33" s="22">
        <v>2</v>
      </c>
      <c r="H33" s="22">
        <v>2</v>
      </c>
      <c r="I33" s="21"/>
      <c r="J33" s="21"/>
      <c r="K33" s="21"/>
      <c r="L33" s="21" t="s">
        <v>11</v>
      </c>
      <c r="M33" s="21"/>
      <c r="N33" s="21"/>
      <c r="O33" s="21" t="s">
        <v>11</v>
      </c>
      <c r="P33" s="21" t="s">
        <v>11</v>
      </c>
      <c r="Q33" s="21"/>
      <c r="R33" s="21"/>
      <c r="S33" s="21"/>
      <c r="T33" s="35"/>
      <c r="U33" s="21"/>
      <c r="V33" s="68" t="s">
        <v>0</v>
      </c>
      <c r="W33" s="1">
        <f>SUM($G$33)</f>
        <v>2</v>
      </c>
      <c r="X33" s="1"/>
      <c r="Y33" s="1">
        <f>SUM($G$33)</f>
        <v>2</v>
      </c>
      <c r="Z33" s="1"/>
      <c r="AA33" s="1">
        <f>SUM($G$33)</f>
        <v>2</v>
      </c>
    </row>
    <row r="34" spans="1:30" ht="15" customHeight="1" thickTop="1" x14ac:dyDescent="0.3">
      <c r="A34" s="69">
        <v>9</v>
      </c>
      <c r="B34" s="23" t="s">
        <v>46</v>
      </c>
      <c r="C34" s="25">
        <v>1</v>
      </c>
      <c r="D34" s="25">
        <v>9</v>
      </c>
      <c r="E34" s="25" t="s">
        <v>0</v>
      </c>
      <c r="F34" s="23" t="s">
        <v>50</v>
      </c>
      <c r="G34" s="26">
        <v>7</v>
      </c>
      <c r="H34" s="26">
        <f>G34</f>
        <v>7</v>
      </c>
      <c r="I34" s="27"/>
      <c r="J34" s="27"/>
      <c r="K34" s="27"/>
      <c r="L34" s="27"/>
      <c r="M34" s="27"/>
      <c r="N34" s="27"/>
      <c r="O34" s="27"/>
      <c r="P34" s="27"/>
      <c r="Q34" s="27"/>
      <c r="R34" s="27" t="s">
        <v>17</v>
      </c>
      <c r="S34" s="27" t="s">
        <v>33</v>
      </c>
      <c r="T34" s="30" t="s">
        <v>1</v>
      </c>
      <c r="U34" s="27" t="s">
        <v>34</v>
      </c>
      <c r="V34" s="70" t="s">
        <v>35</v>
      </c>
      <c r="W34" s="1"/>
      <c r="X34" s="1"/>
      <c r="Y34" s="1"/>
      <c r="Z34" s="1"/>
      <c r="AA34" s="1"/>
    </row>
    <row r="35" spans="1:30" ht="15" customHeight="1" x14ac:dyDescent="0.3">
      <c r="A35" s="71"/>
      <c r="B35" s="28"/>
      <c r="C35" s="29"/>
      <c r="D35" s="29"/>
      <c r="E35" s="29"/>
      <c r="F35" s="28"/>
      <c r="G35" s="107">
        <v>13</v>
      </c>
      <c r="H35" s="30">
        <f t="shared" ref="H35:H43" si="7">G35+H34</f>
        <v>20</v>
      </c>
      <c r="I35" s="31"/>
      <c r="J35" s="31"/>
      <c r="K35" s="31"/>
      <c r="L35" s="31" t="s">
        <v>17</v>
      </c>
      <c r="M35" s="31" t="s">
        <v>17</v>
      </c>
      <c r="N35" s="31"/>
      <c r="O35" s="31"/>
      <c r="P35" s="31"/>
      <c r="Q35" s="31"/>
      <c r="R35" s="31" t="s">
        <v>17</v>
      </c>
      <c r="S35" s="31" t="s">
        <v>3</v>
      </c>
      <c r="T35" s="30" t="s">
        <v>1</v>
      </c>
      <c r="U35" s="31" t="s">
        <v>91</v>
      </c>
      <c r="V35" s="72" t="s">
        <v>122</v>
      </c>
      <c r="W35" s="1"/>
      <c r="X35" s="1"/>
      <c r="Y35" s="1"/>
      <c r="Z35" s="1"/>
      <c r="AA35" s="1"/>
    </row>
    <row r="36" spans="1:30" ht="15" customHeight="1" x14ac:dyDescent="0.3">
      <c r="A36" s="71"/>
      <c r="B36" s="28"/>
      <c r="C36" s="29"/>
      <c r="D36" s="29"/>
      <c r="E36" s="29"/>
      <c r="F36" s="28"/>
      <c r="G36" s="30">
        <v>2</v>
      </c>
      <c r="H36" s="30">
        <f t="shared" si="7"/>
        <v>22</v>
      </c>
      <c r="I36" s="31"/>
      <c r="J36" s="31"/>
      <c r="K36" s="31"/>
      <c r="L36" s="31" t="s">
        <v>17</v>
      </c>
      <c r="M36" s="31" t="s">
        <v>11</v>
      </c>
      <c r="N36" s="31"/>
      <c r="O36" s="31"/>
      <c r="P36" s="31"/>
      <c r="Q36" s="31"/>
      <c r="R36" s="31" t="s">
        <v>17</v>
      </c>
      <c r="S36" s="31"/>
      <c r="T36" s="30"/>
      <c r="U36" s="31"/>
      <c r="V36" s="72" t="s">
        <v>0</v>
      </c>
      <c r="W36" s="1"/>
      <c r="X36" s="1"/>
      <c r="Y36" s="1"/>
      <c r="Z36" s="1"/>
      <c r="AA36" s="1"/>
    </row>
    <row r="37" spans="1:30" ht="15" customHeight="1" x14ac:dyDescent="0.3">
      <c r="A37" s="71"/>
      <c r="B37" s="28"/>
      <c r="C37" s="29"/>
      <c r="D37" s="29"/>
      <c r="E37" s="29"/>
      <c r="F37" s="28"/>
      <c r="G37" s="30">
        <v>2</v>
      </c>
      <c r="H37" s="30">
        <f t="shared" si="7"/>
        <v>24</v>
      </c>
      <c r="I37" s="31"/>
      <c r="J37" s="31"/>
      <c r="K37" s="31"/>
      <c r="L37" s="31" t="s">
        <v>17</v>
      </c>
      <c r="M37" s="31"/>
      <c r="N37" s="31"/>
      <c r="O37" s="31"/>
      <c r="P37" s="31"/>
      <c r="Q37" s="31"/>
      <c r="R37" s="31" t="s">
        <v>11</v>
      </c>
      <c r="S37" s="31"/>
      <c r="T37" s="30"/>
      <c r="U37" s="31"/>
      <c r="V37" s="72" t="s">
        <v>0</v>
      </c>
      <c r="W37" s="1"/>
      <c r="X37" s="1"/>
      <c r="Y37" s="1"/>
      <c r="Z37" s="1"/>
      <c r="AA37" s="1"/>
    </row>
    <row r="38" spans="1:30" ht="15" customHeight="1" x14ac:dyDescent="0.3">
      <c r="A38" s="71"/>
      <c r="B38" s="28"/>
      <c r="C38" s="29"/>
      <c r="D38" s="29"/>
      <c r="E38" s="29"/>
      <c r="F38" s="28"/>
      <c r="G38" s="30">
        <v>2</v>
      </c>
      <c r="H38" s="30">
        <f t="shared" si="7"/>
        <v>26</v>
      </c>
      <c r="I38" s="31"/>
      <c r="J38" s="31"/>
      <c r="K38" s="31"/>
      <c r="L38" s="31" t="s">
        <v>17</v>
      </c>
      <c r="M38" s="31"/>
      <c r="N38" s="31"/>
      <c r="O38" s="31"/>
      <c r="P38" s="31" t="s">
        <v>17</v>
      </c>
      <c r="Q38" s="31" t="s">
        <v>149</v>
      </c>
      <c r="R38" s="31"/>
      <c r="S38" s="31"/>
      <c r="T38" s="30"/>
      <c r="U38" s="31"/>
      <c r="V38" s="72" t="s">
        <v>0</v>
      </c>
      <c r="W38" s="1"/>
      <c r="X38" s="1"/>
      <c r="Y38" s="1"/>
      <c r="Z38" s="1"/>
      <c r="AA38" s="1"/>
    </row>
    <row r="39" spans="1:30" ht="15" customHeight="1" x14ac:dyDescent="0.3">
      <c r="A39" s="71"/>
      <c r="B39" s="28"/>
      <c r="C39" s="29"/>
      <c r="D39" s="29"/>
      <c r="E39" s="29"/>
      <c r="F39" s="28"/>
      <c r="G39" s="107">
        <v>7</v>
      </c>
      <c r="H39" s="30">
        <f t="shared" si="7"/>
        <v>33</v>
      </c>
      <c r="I39" s="31"/>
      <c r="J39" s="31"/>
      <c r="K39" s="31"/>
      <c r="L39" s="31" t="s">
        <v>17</v>
      </c>
      <c r="M39" s="31"/>
      <c r="N39" s="31"/>
      <c r="O39" s="31" t="s">
        <v>17</v>
      </c>
      <c r="P39" s="31" t="s">
        <v>17</v>
      </c>
      <c r="Q39" s="31" t="s">
        <v>17</v>
      </c>
      <c r="R39" s="31"/>
      <c r="S39" s="31" t="s">
        <v>118</v>
      </c>
      <c r="T39" s="30" t="s">
        <v>43</v>
      </c>
      <c r="U39" s="31" t="s">
        <v>119</v>
      </c>
      <c r="V39" s="72" t="s">
        <v>120</v>
      </c>
      <c r="W39" s="1"/>
      <c r="X39" s="1"/>
      <c r="Y39" s="1"/>
      <c r="Z39" s="1"/>
      <c r="AA39" s="1"/>
    </row>
    <row r="40" spans="1:30" ht="15" customHeight="1" x14ac:dyDescent="0.3">
      <c r="A40" s="71"/>
      <c r="B40" s="28"/>
      <c r="C40" s="29"/>
      <c r="D40" s="29"/>
      <c r="E40" s="29"/>
      <c r="F40" s="28"/>
      <c r="G40" s="30">
        <v>2</v>
      </c>
      <c r="H40" s="30">
        <f t="shared" si="7"/>
        <v>35</v>
      </c>
      <c r="I40" s="31"/>
      <c r="J40" s="31"/>
      <c r="K40" s="31"/>
      <c r="L40" s="31" t="s">
        <v>17</v>
      </c>
      <c r="M40" s="31"/>
      <c r="N40" s="31"/>
      <c r="O40" s="31" t="s">
        <v>11</v>
      </c>
      <c r="P40" s="31" t="s">
        <v>17</v>
      </c>
      <c r="Q40" s="31" t="s">
        <v>17</v>
      </c>
      <c r="R40" s="31"/>
      <c r="S40" s="31"/>
      <c r="T40" s="30"/>
      <c r="U40" s="33"/>
      <c r="V40" s="72"/>
      <c r="W40" s="1"/>
      <c r="X40" s="1"/>
      <c r="Y40" s="1"/>
      <c r="Z40" s="1"/>
      <c r="AA40" s="1"/>
    </row>
    <row r="41" spans="1:30" ht="15" customHeight="1" x14ac:dyDescent="0.3">
      <c r="A41" s="71"/>
      <c r="B41" s="28"/>
      <c r="C41" s="29"/>
      <c r="D41" s="29"/>
      <c r="E41" s="29"/>
      <c r="F41" s="28"/>
      <c r="G41" s="30">
        <v>2</v>
      </c>
      <c r="H41" s="30">
        <f t="shared" si="7"/>
        <v>37</v>
      </c>
      <c r="I41" s="31"/>
      <c r="J41" s="31"/>
      <c r="K41" s="31"/>
      <c r="L41" s="31" t="s">
        <v>17</v>
      </c>
      <c r="M41" s="31"/>
      <c r="N41" s="31"/>
      <c r="O41" s="31"/>
      <c r="P41" s="31" t="s">
        <v>11</v>
      </c>
      <c r="Q41" s="31" t="s">
        <v>11</v>
      </c>
      <c r="R41" s="31"/>
      <c r="S41" s="31"/>
      <c r="T41" s="32"/>
      <c r="U41" s="33"/>
      <c r="V41" s="72" t="s">
        <v>0</v>
      </c>
      <c r="W41" s="1"/>
      <c r="X41" s="1"/>
      <c r="Y41" s="1"/>
      <c r="Z41" s="1"/>
      <c r="AA41" s="1"/>
    </row>
    <row r="42" spans="1:30" ht="15" customHeight="1" x14ac:dyDescent="0.3">
      <c r="A42" s="71"/>
      <c r="B42" s="28"/>
      <c r="C42" s="29"/>
      <c r="D42" s="29"/>
      <c r="E42" s="29"/>
      <c r="F42" s="28" t="s">
        <v>126</v>
      </c>
      <c r="G42" s="30">
        <v>60</v>
      </c>
      <c r="H42" s="30">
        <f t="shared" si="7"/>
        <v>97</v>
      </c>
      <c r="I42" s="31" t="s">
        <v>0</v>
      </c>
      <c r="J42" s="31" t="s">
        <v>0</v>
      </c>
      <c r="K42" s="31" t="s">
        <v>0</v>
      </c>
      <c r="L42" s="31" t="s">
        <v>17</v>
      </c>
      <c r="M42" s="31" t="s">
        <v>0</v>
      </c>
      <c r="N42" s="31" t="s">
        <v>0</v>
      </c>
      <c r="O42" s="31" t="s">
        <v>0</v>
      </c>
      <c r="P42" s="31" t="s">
        <v>0</v>
      </c>
      <c r="Q42" s="31" t="s">
        <v>0</v>
      </c>
      <c r="R42" s="31" t="s">
        <v>0</v>
      </c>
      <c r="S42" s="31" t="s">
        <v>3</v>
      </c>
      <c r="T42" s="30" t="s">
        <v>43</v>
      </c>
      <c r="U42" s="31" t="s">
        <v>124</v>
      </c>
      <c r="V42" s="72" t="s">
        <v>121</v>
      </c>
      <c r="W42" s="1">
        <f>SUM($G$34:$G$42)*2</f>
        <v>194</v>
      </c>
      <c r="X42" s="1"/>
      <c r="Y42" s="1">
        <f>SUM($G$34:$G$42)*10</f>
        <v>970</v>
      </c>
      <c r="Z42" s="1"/>
      <c r="AA42" s="1">
        <f>SUM($G$34:$G$42)*60</f>
        <v>5820</v>
      </c>
    </row>
    <row r="43" spans="1:30" ht="15" customHeight="1" thickBot="1" x14ac:dyDescent="0.35">
      <c r="A43" s="74"/>
      <c r="B43" s="34"/>
      <c r="C43" s="35"/>
      <c r="D43" s="35"/>
      <c r="E43" s="35"/>
      <c r="F43" s="28" t="s">
        <v>127</v>
      </c>
      <c r="G43" s="22">
        <v>60</v>
      </c>
      <c r="H43" s="30">
        <f t="shared" si="7"/>
        <v>157</v>
      </c>
      <c r="I43" s="21" t="s">
        <v>0</v>
      </c>
      <c r="J43" s="21" t="s">
        <v>0</v>
      </c>
      <c r="K43" s="21" t="s">
        <v>0</v>
      </c>
      <c r="L43" s="21" t="s">
        <v>17</v>
      </c>
      <c r="M43" s="21" t="s">
        <v>0</v>
      </c>
      <c r="N43" s="21" t="s">
        <v>0</v>
      </c>
      <c r="O43" s="21" t="s">
        <v>0</v>
      </c>
      <c r="P43" s="21" t="s">
        <v>0</v>
      </c>
      <c r="Q43" s="21" t="s">
        <v>0</v>
      </c>
      <c r="R43" s="21" t="s">
        <v>0</v>
      </c>
      <c r="S43" s="21" t="s">
        <v>3</v>
      </c>
      <c r="T43" s="22" t="s">
        <v>43</v>
      </c>
      <c r="U43" s="31" t="s">
        <v>125</v>
      </c>
      <c r="V43" s="72" t="s">
        <v>123</v>
      </c>
      <c r="W43" s="1">
        <v>600</v>
      </c>
      <c r="X43" s="1"/>
      <c r="Y43" s="1">
        <v>600</v>
      </c>
      <c r="Z43" s="1"/>
      <c r="AA43" s="1">
        <v>600</v>
      </c>
    </row>
    <row r="44" spans="1:30" ht="15" customHeight="1" thickTop="1" thickBot="1" x14ac:dyDescent="0.35">
      <c r="A44" s="76">
        <v>10</v>
      </c>
      <c r="B44" s="36" t="s">
        <v>51</v>
      </c>
      <c r="C44" s="37">
        <v>1</v>
      </c>
      <c r="D44" s="37" t="s">
        <v>129</v>
      </c>
      <c r="E44" s="37">
        <v>10</v>
      </c>
      <c r="F44" s="36" t="s">
        <v>56</v>
      </c>
      <c r="G44" s="37" t="s">
        <v>29</v>
      </c>
      <c r="H44" s="37" t="s">
        <v>29</v>
      </c>
      <c r="I44" s="36"/>
      <c r="J44" s="36"/>
      <c r="K44" s="36"/>
      <c r="L44" s="36" t="s">
        <v>17</v>
      </c>
      <c r="M44" s="36"/>
      <c r="N44" s="36"/>
      <c r="O44" s="36" t="s">
        <v>17</v>
      </c>
      <c r="P44" s="36" t="s">
        <v>17</v>
      </c>
      <c r="Q44" s="36" t="s">
        <v>17</v>
      </c>
      <c r="R44" s="36"/>
      <c r="S44" s="36"/>
      <c r="T44" s="47"/>
      <c r="U44" s="48" t="s">
        <v>30</v>
      </c>
      <c r="V44" s="89" t="s">
        <v>0</v>
      </c>
      <c r="W44" s="1"/>
      <c r="X44" s="1"/>
      <c r="Y44" s="1"/>
      <c r="Z44" s="1"/>
      <c r="AA44" s="1"/>
    </row>
    <row r="45" spans="1:30" ht="15" customHeight="1" thickTop="1" thickBot="1" x14ac:dyDescent="0.35">
      <c r="A45" s="74">
        <v>11</v>
      </c>
      <c r="B45" s="34" t="s">
        <v>51</v>
      </c>
      <c r="C45" s="35">
        <v>1</v>
      </c>
      <c r="D45" s="35" t="s">
        <v>129</v>
      </c>
      <c r="E45" s="35" t="s">
        <v>0</v>
      </c>
      <c r="F45" s="34" t="s">
        <v>184</v>
      </c>
      <c r="G45" s="35">
        <v>2</v>
      </c>
      <c r="H45" s="35">
        <f>G45</f>
        <v>2</v>
      </c>
      <c r="I45" s="34"/>
      <c r="J45" s="34"/>
      <c r="K45" s="34"/>
      <c r="L45" s="34" t="s">
        <v>17</v>
      </c>
      <c r="M45" s="34"/>
      <c r="N45" s="34"/>
      <c r="O45" s="34" t="s">
        <v>11</v>
      </c>
      <c r="P45" s="34" t="s">
        <v>11</v>
      </c>
      <c r="Q45" s="34" t="s">
        <v>11</v>
      </c>
      <c r="R45" s="34"/>
      <c r="S45" s="34"/>
      <c r="T45" s="35"/>
      <c r="U45" s="34"/>
      <c r="V45" s="79" t="s">
        <v>0</v>
      </c>
      <c r="W45" s="1">
        <v>2</v>
      </c>
      <c r="X45" s="1"/>
      <c r="Y45" s="1">
        <v>2</v>
      </c>
      <c r="Z45" s="1"/>
      <c r="AA45" s="1">
        <v>2</v>
      </c>
    </row>
    <row r="46" spans="1:30" s="19" customFormat="1" ht="15" customHeight="1" thickTop="1" x14ac:dyDescent="0.3">
      <c r="A46" s="69">
        <v>12</v>
      </c>
      <c r="B46" s="23" t="s">
        <v>53</v>
      </c>
      <c r="C46" s="24" t="s">
        <v>100</v>
      </c>
      <c r="D46" s="25">
        <v>12</v>
      </c>
      <c r="E46" s="25" t="s">
        <v>0</v>
      </c>
      <c r="F46" s="28" t="s">
        <v>96</v>
      </c>
      <c r="G46" s="26">
        <v>7</v>
      </c>
      <c r="H46" s="26">
        <v>7</v>
      </c>
      <c r="I46" s="27"/>
      <c r="J46" s="27"/>
      <c r="K46" s="27"/>
      <c r="L46" s="27" t="s">
        <v>17</v>
      </c>
      <c r="M46" s="27"/>
      <c r="N46" s="27"/>
      <c r="O46" s="27"/>
      <c r="P46" s="27"/>
      <c r="Q46" s="27"/>
      <c r="R46" s="27" t="s">
        <v>17</v>
      </c>
      <c r="S46" s="41" t="s">
        <v>33</v>
      </c>
      <c r="T46" s="42" t="s">
        <v>93</v>
      </c>
      <c r="U46" s="43" t="s">
        <v>94</v>
      </c>
      <c r="V46" s="41" t="s">
        <v>35</v>
      </c>
      <c r="W46" s="1"/>
      <c r="X46" s="1"/>
      <c r="Y46" s="1"/>
      <c r="Z46" s="1"/>
      <c r="AA46" s="1"/>
      <c r="AB46" s="1"/>
      <c r="AC46" s="1"/>
      <c r="AD46" s="1"/>
    </row>
    <row r="47" spans="1:30" s="19" customFormat="1" ht="15" customHeight="1" x14ac:dyDescent="0.3">
      <c r="A47" s="71"/>
      <c r="B47" s="28"/>
      <c r="C47" s="29"/>
      <c r="D47" s="29"/>
      <c r="E47" s="29"/>
      <c r="F47" s="28" t="s">
        <v>97</v>
      </c>
      <c r="G47" s="26">
        <v>180</v>
      </c>
      <c r="H47" s="26">
        <f t="shared" ref="H47:H49" si="8">G47+H46</f>
        <v>187</v>
      </c>
      <c r="I47" s="27"/>
      <c r="J47" s="27"/>
      <c r="K47" s="27"/>
      <c r="L47" s="27" t="s">
        <v>17</v>
      </c>
      <c r="M47" s="27" t="s">
        <v>17</v>
      </c>
      <c r="N47" s="27"/>
      <c r="O47" s="27"/>
      <c r="P47" s="27"/>
      <c r="Q47" s="27"/>
      <c r="R47" s="27" t="s">
        <v>17</v>
      </c>
      <c r="S47" s="27"/>
      <c r="T47" s="26"/>
      <c r="U47" s="31"/>
      <c r="V47" s="72"/>
      <c r="W47" s="1"/>
      <c r="X47" s="1"/>
      <c r="Y47" s="1"/>
      <c r="Z47" s="1"/>
      <c r="AA47" s="1"/>
      <c r="AB47" s="1"/>
      <c r="AC47" s="1"/>
      <c r="AD47" s="1"/>
    </row>
    <row r="48" spans="1:30" s="19" customFormat="1" ht="15" customHeight="1" x14ac:dyDescent="0.3">
      <c r="A48" s="71"/>
      <c r="B48" s="28"/>
      <c r="C48" s="29"/>
      <c r="D48" s="29"/>
      <c r="E48" s="29"/>
      <c r="F48" s="28"/>
      <c r="G48" s="26">
        <v>2</v>
      </c>
      <c r="H48" s="26">
        <f t="shared" si="8"/>
        <v>189</v>
      </c>
      <c r="I48" s="27"/>
      <c r="J48" s="27"/>
      <c r="K48" s="27"/>
      <c r="L48" s="27" t="s">
        <v>17</v>
      </c>
      <c r="M48" s="27" t="s">
        <v>98</v>
      </c>
      <c r="N48" s="27"/>
      <c r="O48" s="27"/>
      <c r="P48" s="27"/>
      <c r="Q48" s="27"/>
      <c r="R48" s="27" t="s">
        <v>17</v>
      </c>
      <c r="S48" s="27"/>
      <c r="T48" s="26"/>
      <c r="U48" s="27"/>
      <c r="V48" s="70" t="s">
        <v>0</v>
      </c>
      <c r="W48" s="1"/>
      <c r="X48" s="1"/>
      <c r="Y48" s="1"/>
      <c r="Z48" s="1"/>
      <c r="AA48" s="1"/>
      <c r="AB48" s="1"/>
      <c r="AC48" s="1"/>
      <c r="AD48" s="1"/>
    </row>
    <row r="49" spans="1:30" s="19" customFormat="1" ht="15" customHeight="1" x14ac:dyDescent="0.3">
      <c r="A49" s="71"/>
      <c r="B49" s="28"/>
      <c r="C49" s="29"/>
      <c r="D49" s="29"/>
      <c r="E49" s="29"/>
      <c r="F49" s="45"/>
      <c r="G49" s="46">
        <v>2</v>
      </c>
      <c r="H49" s="46">
        <f t="shared" si="8"/>
        <v>191</v>
      </c>
      <c r="I49" s="45"/>
      <c r="J49" s="45"/>
      <c r="K49" s="45"/>
      <c r="L49" s="27" t="s">
        <v>17</v>
      </c>
      <c r="M49" s="45"/>
      <c r="N49" s="45"/>
      <c r="O49" s="45"/>
      <c r="P49" s="45"/>
      <c r="Q49" s="45"/>
      <c r="R49" s="45" t="s">
        <v>98</v>
      </c>
      <c r="S49" s="45"/>
      <c r="T49" s="46"/>
      <c r="U49" s="45"/>
      <c r="V49" s="80" t="s">
        <v>0</v>
      </c>
      <c r="W49" s="1">
        <f>SUM($G$46:$G$49)</f>
        <v>191</v>
      </c>
      <c r="X49" s="1"/>
      <c r="Y49" s="1">
        <f>SUM($G$46:$G$49)</f>
        <v>191</v>
      </c>
      <c r="Z49" s="1"/>
      <c r="AA49" s="1">
        <f>SUM($G$46:$G$49)</f>
        <v>191</v>
      </c>
      <c r="AB49" s="1"/>
      <c r="AC49" s="1"/>
      <c r="AD49" s="1"/>
    </row>
    <row r="50" spans="1:30" ht="15" customHeight="1" x14ac:dyDescent="0.3">
      <c r="A50" s="71"/>
      <c r="B50" s="28"/>
      <c r="C50" s="29"/>
      <c r="D50" s="29"/>
      <c r="E50" s="29"/>
      <c r="F50" s="28" t="s">
        <v>153</v>
      </c>
      <c r="G50" s="26">
        <v>7</v>
      </c>
      <c r="H50" s="26">
        <v>7</v>
      </c>
      <c r="I50" s="27"/>
      <c r="J50" s="27"/>
      <c r="K50" s="27"/>
      <c r="L50" s="27" t="s">
        <v>17</v>
      </c>
      <c r="M50" s="27"/>
      <c r="N50" s="27"/>
      <c r="O50" s="27"/>
      <c r="P50" s="27"/>
      <c r="Q50" s="27"/>
      <c r="R50" s="27" t="s">
        <v>17</v>
      </c>
      <c r="S50" s="27" t="s">
        <v>33</v>
      </c>
      <c r="T50" s="26" t="s">
        <v>1</v>
      </c>
      <c r="U50" s="27" t="s">
        <v>59</v>
      </c>
      <c r="V50" s="70" t="s">
        <v>35</v>
      </c>
      <c r="W50" s="1"/>
      <c r="X50" s="1"/>
      <c r="Y50" s="1"/>
      <c r="Z50" s="1"/>
      <c r="AA50" s="1"/>
    </row>
    <row r="51" spans="1:30" ht="15" customHeight="1" x14ac:dyDescent="0.3">
      <c r="A51" s="71"/>
      <c r="B51" s="28"/>
      <c r="C51" s="29"/>
      <c r="D51" s="29"/>
      <c r="E51" s="29"/>
      <c r="F51" s="28" t="s">
        <v>152</v>
      </c>
      <c r="G51" s="109">
        <v>7</v>
      </c>
      <c r="H51" s="26">
        <f t="shared" ref="H51:H57" si="9">G51+H50</f>
        <v>14</v>
      </c>
      <c r="I51" s="27"/>
      <c r="J51" s="27"/>
      <c r="K51" s="27"/>
      <c r="L51" s="27" t="s">
        <v>17</v>
      </c>
      <c r="M51" s="27" t="s">
        <v>149</v>
      </c>
      <c r="N51" s="27"/>
      <c r="O51" s="27"/>
      <c r="P51" s="27"/>
      <c r="Q51" s="27"/>
      <c r="R51" s="27" t="s">
        <v>17</v>
      </c>
      <c r="S51" s="27" t="s">
        <v>3</v>
      </c>
      <c r="T51" s="26" t="s">
        <v>1</v>
      </c>
      <c r="U51" s="31" t="s">
        <v>91</v>
      </c>
      <c r="V51" s="72" t="s">
        <v>122</v>
      </c>
      <c r="W51" s="1"/>
      <c r="X51" s="1"/>
      <c r="Y51" s="1"/>
      <c r="Z51" s="1"/>
      <c r="AA51" s="1"/>
    </row>
    <row r="52" spans="1:30" ht="15" customHeight="1" x14ac:dyDescent="0.3">
      <c r="A52" s="71"/>
      <c r="B52" s="28" t="s">
        <v>61</v>
      </c>
      <c r="C52" s="29"/>
      <c r="D52" s="29"/>
      <c r="E52" s="29"/>
      <c r="F52" s="28"/>
      <c r="G52" s="26">
        <v>2</v>
      </c>
      <c r="H52" s="26">
        <f t="shared" si="9"/>
        <v>16</v>
      </c>
      <c r="I52" s="27"/>
      <c r="J52" s="27"/>
      <c r="K52" s="27"/>
      <c r="L52" s="27" t="s">
        <v>17</v>
      </c>
      <c r="M52" s="27" t="s">
        <v>11</v>
      </c>
      <c r="N52" s="27"/>
      <c r="O52" s="27"/>
      <c r="P52" s="27"/>
      <c r="Q52" s="27"/>
      <c r="R52" s="27" t="s">
        <v>17</v>
      </c>
      <c r="S52" s="27"/>
      <c r="T52" s="26"/>
      <c r="U52" s="27"/>
      <c r="V52" s="70" t="s">
        <v>0</v>
      </c>
      <c r="W52" s="1"/>
      <c r="X52" s="1"/>
      <c r="Y52" s="1"/>
      <c r="Z52" s="1"/>
      <c r="AA52" s="1"/>
    </row>
    <row r="53" spans="1:30" ht="15" customHeight="1" x14ac:dyDescent="0.3">
      <c r="A53" s="71"/>
      <c r="B53" s="28" t="s">
        <v>150</v>
      </c>
      <c r="C53" s="29"/>
      <c r="D53" s="29"/>
      <c r="E53" s="29"/>
      <c r="F53" s="28"/>
      <c r="G53" s="26">
        <v>2</v>
      </c>
      <c r="H53" s="26">
        <f t="shared" si="9"/>
        <v>18</v>
      </c>
      <c r="I53" s="27"/>
      <c r="J53" s="27"/>
      <c r="K53" s="27"/>
      <c r="L53" s="27" t="s">
        <v>17</v>
      </c>
      <c r="M53" s="27"/>
      <c r="N53" s="27"/>
      <c r="O53" s="27"/>
      <c r="P53" s="27"/>
      <c r="Q53" s="27"/>
      <c r="R53" s="27" t="s">
        <v>11</v>
      </c>
      <c r="S53" s="27"/>
      <c r="T53" s="26"/>
      <c r="U53" s="27"/>
      <c r="V53" s="70" t="s">
        <v>0</v>
      </c>
      <c r="W53" s="1"/>
      <c r="X53" s="1"/>
      <c r="Y53" s="1"/>
      <c r="Z53" s="1"/>
      <c r="AA53" s="1"/>
    </row>
    <row r="54" spans="1:30" ht="15" customHeight="1" x14ac:dyDescent="0.3">
      <c r="A54" s="71"/>
      <c r="B54" s="28" t="s">
        <v>165</v>
      </c>
      <c r="C54" s="29"/>
      <c r="D54" s="29"/>
      <c r="E54" s="29"/>
      <c r="F54" s="28" t="s">
        <v>63</v>
      </c>
      <c r="G54" s="30">
        <v>2</v>
      </c>
      <c r="H54" s="30">
        <f t="shared" si="9"/>
        <v>20</v>
      </c>
      <c r="I54" s="31"/>
      <c r="J54" s="31"/>
      <c r="K54" s="31"/>
      <c r="L54" s="31" t="s">
        <v>17</v>
      </c>
      <c r="M54" s="31"/>
      <c r="N54" s="31"/>
      <c r="O54" s="31"/>
      <c r="P54" s="31" t="s">
        <v>17</v>
      </c>
      <c r="Q54" s="31" t="s">
        <v>17</v>
      </c>
      <c r="R54" s="31"/>
      <c r="S54" s="31"/>
      <c r="T54" s="30"/>
      <c r="U54" s="31"/>
      <c r="V54" s="72" t="s">
        <v>0</v>
      </c>
      <c r="W54" s="1"/>
      <c r="X54" s="1"/>
      <c r="Y54" s="1"/>
      <c r="Z54" s="1"/>
      <c r="AA54" s="1"/>
    </row>
    <row r="55" spans="1:30" ht="15" customHeight="1" x14ac:dyDescent="0.3">
      <c r="A55" s="71"/>
      <c r="B55" s="28" t="s">
        <v>64</v>
      </c>
      <c r="C55" s="29"/>
      <c r="D55" s="29"/>
      <c r="E55" s="29"/>
      <c r="F55" s="28"/>
      <c r="G55" s="107">
        <v>10</v>
      </c>
      <c r="H55" s="30">
        <f t="shared" si="9"/>
        <v>30</v>
      </c>
      <c r="I55" s="31"/>
      <c r="J55" s="31"/>
      <c r="K55" s="31"/>
      <c r="L55" s="31" t="s">
        <v>17</v>
      </c>
      <c r="M55" s="31"/>
      <c r="N55" s="31"/>
      <c r="O55" s="31" t="s">
        <v>17</v>
      </c>
      <c r="P55" s="31" t="s">
        <v>17</v>
      </c>
      <c r="Q55" s="31" t="s">
        <v>17</v>
      </c>
      <c r="R55" s="31"/>
      <c r="S55" s="31" t="s">
        <v>118</v>
      </c>
      <c r="T55" s="30" t="s">
        <v>43</v>
      </c>
      <c r="U55" s="31" t="s">
        <v>119</v>
      </c>
      <c r="V55" s="72" t="s">
        <v>120</v>
      </c>
      <c r="W55" s="1"/>
      <c r="X55" s="1"/>
      <c r="Y55" s="1"/>
      <c r="Z55" s="1"/>
      <c r="AA55" s="1"/>
    </row>
    <row r="56" spans="1:30" ht="15" customHeight="1" x14ac:dyDescent="0.3">
      <c r="A56" s="71"/>
      <c r="B56" s="28" t="s">
        <v>151</v>
      </c>
      <c r="C56" s="29"/>
      <c r="D56" s="29"/>
      <c r="E56" s="29"/>
      <c r="F56" s="28"/>
      <c r="G56" s="30">
        <v>2</v>
      </c>
      <c r="H56" s="30">
        <f t="shared" si="9"/>
        <v>32</v>
      </c>
      <c r="I56" s="31"/>
      <c r="J56" s="31"/>
      <c r="K56" s="31"/>
      <c r="L56" s="31" t="s">
        <v>17</v>
      </c>
      <c r="M56" s="31"/>
      <c r="N56" s="31"/>
      <c r="O56" s="31" t="s">
        <v>98</v>
      </c>
      <c r="P56" s="31" t="s">
        <v>17</v>
      </c>
      <c r="Q56" s="31" t="s">
        <v>17</v>
      </c>
      <c r="R56" s="31"/>
      <c r="S56" s="31"/>
      <c r="T56" s="30"/>
      <c r="U56" s="33"/>
      <c r="V56" s="72"/>
      <c r="W56" s="1"/>
      <c r="X56" s="1"/>
      <c r="Y56" s="1"/>
      <c r="Z56" s="1"/>
      <c r="AA56" s="1"/>
    </row>
    <row r="57" spans="1:30" ht="15" customHeight="1" thickBot="1" x14ac:dyDescent="0.35">
      <c r="A57" s="71"/>
      <c r="B57" s="28"/>
      <c r="C57" s="29"/>
      <c r="D57" s="29"/>
      <c r="E57" s="29"/>
      <c r="F57" s="28"/>
      <c r="G57" s="30">
        <v>2</v>
      </c>
      <c r="H57" s="30">
        <f t="shared" si="9"/>
        <v>34</v>
      </c>
      <c r="I57" s="31"/>
      <c r="J57" s="31"/>
      <c r="K57" s="31"/>
      <c r="L57" s="31" t="s">
        <v>149</v>
      </c>
      <c r="M57" s="31"/>
      <c r="N57" s="31"/>
      <c r="O57" s="31"/>
      <c r="P57" s="31" t="s">
        <v>98</v>
      </c>
      <c r="Q57" s="31" t="s">
        <v>98</v>
      </c>
      <c r="R57" s="31"/>
      <c r="S57" s="31"/>
      <c r="T57" s="30"/>
      <c r="U57" s="20"/>
      <c r="V57" s="72"/>
      <c r="W57" s="1">
        <f>SUM($G$50:$G$57)*2</f>
        <v>68</v>
      </c>
      <c r="X57" s="1"/>
      <c r="Y57" s="1">
        <f>SUM($G$50:$G$57)*10</f>
        <v>340</v>
      </c>
      <c r="Z57" s="1"/>
      <c r="AA57" s="1">
        <f>SUM($G$50:$G$57)*60</f>
        <v>2040</v>
      </c>
    </row>
    <row r="58" spans="1:30" s="19" customFormat="1" ht="15" customHeight="1" thickTop="1" thickBot="1" x14ac:dyDescent="0.35">
      <c r="A58" s="76">
        <v>13</v>
      </c>
      <c r="B58" s="36" t="s">
        <v>115</v>
      </c>
      <c r="C58" s="37">
        <v>1</v>
      </c>
      <c r="D58" s="37" t="s">
        <v>129</v>
      </c>
      <c r="E58" s="37">
        <v>14</v>
      </c>
      <c r="F58" s="36" t="s">
        <v>154</v>
      </c>
      <c r="G58" s="37" t="s">
        <v>29</v>
      </c>
      <c r="H58" s="37" t="s">
        <v>29</v>
      </c>
      <c r="I58" s="36" t="s">
        <v>0</v>
      </c>
      <c r="J58" s="36" t="s">
        <v>0</v>
      </c>
      <c r="K58" s="36" t="s">
        <v>0</v>
      </c>
      <c r="L58" s="36" t="s">
        <v>149</v>
      </c>
      <c r="M58" s="36" t="s">
        <v>0</v>
      </c>
      <c r="N58" s="36" t="s">
        <v>0</v>
      </c>
      <c r="O58" s="36" t="s">
        <v>0</v>
      </c>
      <c r="P58" s="36" t="s">
        <v>0</v>
      </c>
      <c r="Q58" s="36" t="s">
        <v>0</v>
      </c>
      <c r="R58" s="36" t="s">
        <v>0</v>
      </c>
      <c r="S58" s="36"/>
      <c r="T58" s="37"/>
      <c r="U58" s="36" t="s">
        <v>30</v>
      </c>
      <c r="V58" s="77" t="s">
        <v>0</v>
      </c>
      <c r="W58" s="1"/>
      <c r="X58" s="1"/>
      <c r="Y58" s="1"/>
      <c r="Z58" s="1"/>
      <c r="AA58" s="1"/>
    </row>
    <row r="59" spans="1:30" ht="15" customHeight="1" thickTop="1" x14ac:dyDescent="0.3">
      <c r="A59" s="71">
        <v>14</v>
      </c>
      <c r="B59" s="28" t="s">
        <v>102</v>
      </c>
      <c r="C59" s="29">
        <v>1</v>
      </c>
      <c r="D59" s="29">
        <v>14</v>
      </c>
      <c r="E59" s="29" t="s">
        <v>0</v>
      </c>
      <c r="F59" s="28" t="s">
        <v>58</v>
      </c>
      <c r="G59" s="26">
        <v>2</v>
      </c>
      <c r="H59" s="26">
        <v>2</v>
      </c>
      <c r="I59" s="27"/>
      <c r="J59" s="27"/>
      <c r="K59" s="27"/>
      <c r="L59" s="31" t="s">
        <v>17</v>
      </c>
      <c r="M59" s="27"/>
      <c r="N59" s="27"/>
      <c r="O59" s="27"/>
      <c r="P59" s="27"/>
      <c r="Q59" s="27"/>
      <c r="R59" s="31" t="s">
        <v>17</v>
      </c>
      <c r="S59" s="27"/>
      <c r="T59" s="26"/>
      <c r="U59" s="27"/>
      <c r="V59" s="70"/>
      <c r="W59" s="1"/>
      <c r="X59" s="1"/>
      <c r="Y59" s="1"/>
      <c r="Z59" s="1"/>
      <c r="AA59" s="1"/>
    </row>
    <row r="60" spans="1:30" ht="15" customHeight="1" x14ac:dyDescent="0.3">
      <c r="A60" s="71"/>
      <c r="B60" s="28"/>
      <c r="C60" s="29"/>
      <c r="D60" s="29"/>
      <c r="E60" s="29"/>
      <c r="F60" s="28"/>
      <c r="G60" s="30">
        <v>60</v>
      </c>
      <c r="H60" s="30">
        <f t="shared" ref="H60:H62" si="10">G60+H59</f>
        <v>62</v>
      </c>
      <c r="I60" s="31"/>
      <c r="J60" s="31"/>
      <c r="K60" s="31"/>
      <c r="L60" s="31" t="s">
        <v>17</v>
      </c>
      <c r="M60" s="31" t="s">
        <v>17</v>
      </c>
      <c r="N60" s="31"/>
      <c r="O60" s="31"/>
      <c r="P60" s="31"/>
      <c r="Q60" s="31"/>
      <c r="R60" s="31" t="s">
        <v>17</v>
      </c>
      <c r="S60" s="90"/>
      <c r="T60" s="91"/>
      <c r="U60" s="90"/>
      <c r="V60" s="92"/>
      <c r="W60" s="1"/>
      <c r="X60" s="1"/>
      <c r="Y60" s="1"/>
      <c r="Z60" s="1"/>
      <c r="AA60" s="1"/>
    </row>
    <row r="61" spans="1:30" ht="15" customHeight="1" x14ac:dyDescent="0.3">
      <c r="A61" s="71"/>
      <c r="B61" s="28"/>
      <c r="C61" s="29"/>
      <c r="D61" s="29"/>
      <c r="E61" s="29"/>
      <c r="F61" s="28"/>
      <c r="G61" s="30">
        <v>2</v>
      </c>
      <c r="H61" s="30">
        <f t="shared" si="10"/>
        <v>64</v>
      </c>
      <c r="I61" s="31"/>
      <c r="J61" s="31"/>
      <c r="K61" s="31"/>
      <c r="L61" s="31" t="s">
        <v>17</v>
      </c>
      <c r="M61" s="31" t="s">
        <v>11</v>
      </c>
      <c r="N61" s="31"/>
      <c r="O61" s="31"/>
      <c r="P61" s="31"/>
      <c r="Q61" s="31"/>
      <c r="R61" s="31" t="s">
        <v>17</v>
      </c>
      <c r="S61" s="90" t="s">
        <v>131</v>
      </c>
      <c r="T61" s="91" t="s">
        <v>1</v>
      </c>
      <c r="U61" s="90" t="s">
        <v>155</v>
      </c>
      <c r="V61" s="92" t="s">
        <v>122</v>
      </c>
      <c r="W61" s="1"/>
      <c r="X61" s="1"/>
      <c r="Y61" s="1"/>
      <c r="Z61" s="1"/>
      <c r="AA61" s="1"/>
    </row>
    <row r="62" spans="1:30" ht="15" customHeight="1" thickBot="1" x14ac:dyDescent="0.35">
      <c r="A62" s="74"/>
      <c r="B62" s="34"/>
      <c r="C62" s="35"/>
      <c r="D62" s="35"/>
      <c r="E62" s="35"/>
      <c r="F62" s="34" t="s">
        <v>60</v>
      </c>
      <c r="G62" s="35">
        <v>2</v>
      </c>
      <c r="H62" s="26">
        <f t="shared" si="10"/>
        <v>66</v>
      </c>
      <c r="I62" s="34"/>
      <c r="J62" s="34"/>
      <c r="K62" s="34"/>
      <c r="L62" s="34" t="s">
        <v>11</v>
      </c>
      <c r="M62" s="34"/>
      <c r="N62" s="34"/>
      <c r="O62" s="34"/>
      <c r="P62" s="34"/>
      <c r="Q62" s="34"/>
      <c r="R62" s="34" t="s">
        <v>11</v>
      </c>
      <c r="S62" s="34"/>
      <c r="T62" s="35"/>
      <c r="U62" s="34"/>
      <c r="V62" s="79" t="s">
        <v>0</v>
      </c>
      <c r="W62" s="1">
        <f>SUM($G$59:$G$62)</f>
        <v>66</v>
      </c>
      <c r="X62" s="1"/>
      <c r="Y62" s="1">
        <f>SUM($G$59:$G$62)</f>
        <v>66</v>
      </c>
      <c r="Z62" s="1"/>
      <c r="AA62" s="1">
        <f>SUM($G$59:$G$62)</f>
        <v>66</v>
      </c>
    </row>
    <row r="63" spans="1:30" s="19" customFormat="1" ht="15" customHeight="1" thickTop="1" thickBot="1" x14ac:dyDescent="0.35">
      <c r="A63" s="76">
        <v>15</v>
      </c>
      <c r="B63" s="36" t="s">
        <v>62</v>
      </c>
      <c r="C63" s="37">
        <v>1</v>
      </c>
      <c r="D63" s="25" t="s">
        <v>129</v>
      </c>
      <c r="E63" s="37">
        <v>16</v>
      </c>
      <c r="F63" s="36" t="s">
        <v>130</v>
      </c>
      <c r="G63" s="47" t="s">
        <v>29</v>
      </c>
      <c r="H63" s="47" t="s">
        <v>29</v>
      </c>
      <c r="I63" s="48" t="s">
        <v>0</v>
      </c>
      <c r="J63" s="36" t="s">
        <v>0</v>
      </c>
      <c r="K63" s="36" t="s">
        <v>0</v>
      </c>
      <c r="L63" s="36" t="s">
        <v>0</v>
      </c>
      <c r="M63" s="36" t="s">
        <v>0</v>
      </c>
      <c r="N63" s="36" t="s">
        <v>0</v>
      </c>
      <c r="O63" s="36" t="s">
        <v>0</v>
      </c>
      <c r="P63" s="36" t="s">
        <v>0</v>
      </c>
      <c r="Q63" s="36" t="s">
        <v>0</v>
      </c>
      <c r="R63" s="36" t="s">
        <v>0</v>
      </c>
      <c r="S63" s="36"/>
      <c r="T63" s="37"/>
      <c r="U63" s="36" t="s">
        <v>158</v>
      </c>
      <c r="V63" s="77" t="s">
        <v>0</v>
      </c>
      <c r="W63" s="1"/>
      <c r="X63" s="1"/>
      <c r="Y63" s="1"/>
      <c r="Z63" s="1"/>
      <c r="AA63" s="1"/>
      <c r="AB63" s="1"/>
      <c r="AC63" s="1"/>
      <c r="AD63" s="1"/>
    </row>
    <row r="64" spans="1:30" s="19" customFormat="1" ht="15" customHeight="1" thickTop="1" x14ac:dyDescent="0.3">
      <c r="A64" s="69">
        <v>16</v>
      </c>
      <c r="B64" s="23" t="s">
        <v>62</v>
      </c>
      <c r="C64" s="25">
        <v>1</v>
      </c>
      <c r="D64" s="25">
        <v>16</v>
      </c>
      <c r="E64" s="25" t="s">
        <v>0</v>
      </c>
      <c r="F64" s="28" t="s">
        <v>133</v>
      </c>
      <c r="G64" s="26">
        <v>7</v>
      </c>
      <c r="H64" s="26">
        <f>G64</f>
        <v>7</v>
      </c>
      <c r="I64" s="27"/>
      <c r="J64" s="27"/>
      <c r="K64" s="27"/>
      <c r="L64" s="27"/>
      <c r="M64" s="27"/>
      <c r="N64" s="27"/>
      <c r="O64" s="27"/>
      <c r="P64" s="27"/>
      <c r="Q64" s="27"/>
      <c r="R64" s="31" t="s">
        <v>17</v>
      </c>
      <c r="S64" s="27" t="s">
        <v>33</v>
      </c>
      <c r="T64" s="26" t="s">
        <v>1</v>
      </c>
      <c r="U64" s="27" t="s">
        <v>34</v>
      </c>
      <c r="V64" s="70" t="s">
        <v>35</v>
      </c>
      <c r="W64" s="1"/>
      <c r="X64" s="1"/>
      <c r="Y64" s="1"/>
      <c r="Z64" s="1"/>
      <c r="AA64" s="1"/>
      <c r="AB64" s="1"/>
      <c r="AC64" s="1"/>
      <c r="AD64" s="1"/>
    </row>
    <row r="65" spans="1:30" s="19" customFormat="1" ht="15" customHeight="1" x14ac:dyDescent="0.3">
      <c r="A65" s="71"/>
      <c r="B65" s="28"/>
      <c r="C65" s="29"/>
      <c r="D65" s="29"/>
      <c r="E65" s="29"/>
      <c r="F65" s="28"/>
      <c r="G65" s="26">
        <v>3</v>
      </c>
      <c r="H65" s="26">
        <f t="shared" ref="H65:H73" si="11">G65+H64</f>
        <v>10</v>
      </c>
      <c r="I65" s="27"/>
      <c r="J65" s="27"/>
      <c r="K65" s="27"/>
      <c r="L65" s="27"/>
      <c r="M65" s="31" t="s">
        <v>17</v>
      </c>
      <c r="N65" s="31" t="s">
        <v>17</v>
      </c>
      <c r="O65" s="27"/>
      <c r="P65" s="27"/>
      <c r="Q65" s="27"/>
      <c r="R65" s="31" t="s">
        <v>17</v>
      </c>
      <c r="S65" s="27"/>
      <c r="T65" s="26"/>
      <c r="U65" s="27"/>
      <c r="V65" s="70" t="s">
        <v>0</v>
      </c>
      <c r="W65" s="1"/>
      <c r="X65" s="1"/>
      <c r="Y65" s="1"/>
      <c r="Z65" s="1"/>
      <c r="AA65" s="1"/>
      <c r="AB65" s="1"/>
      <c r="AC65" s="1"/>
      <c r="AD65" s="1"/>
    </row>
    <row r="66" spans="1:30" s="19" customFormat="1" ht="15" customHeight="1" x14ac:dyDescent="0.3">
      <c r="A66" s="71"/>
      <c r="B66" s="28"/>
      <c r="C66" s="29"/>
      <c r="D66" s="29"/>
      <c r="E66" s="29"/>
      <c r="F66" s="28"/>
      <c r="G66" s="103">
        <v>7</v>
      </c>
      <c r="H66" s="26">
        <f t="shared" si="11"/>
        <v>17</v>
      </c>
      <c r="I66" s="31"/>
      <c r="J66" s="31"/>
      <c r="K66" s="31"/>
      <c r="L66" s="31" t="s">
        <v>17</v>
      </c>
      <c r="M66" s="31" t="s">
        <v>17</v>
      </c>
      <c r="N66" s="31" t="s">
        <v>17</v>
      </c>
      <c r="O66" s="31"/>
      <c r="P66" s="31"/>
      <c r="Q66" s="31"/>
      <c r="R66" s="31" t="s">
        <v>17</v>
      </c>
      <c r="S66" s="27" t="s">
        <v>3</v>
      </c>
      <c r="T66" s="26" t="s">
        <v>1</v>
      </c>
      <c r="U66" s="31" t="s">
        <v>91</v>
      </c>
      <c r="V66" s="72" t="s">
        <v>122</v>
      </c>
      <c r="W66" s="1"/>
      <c r="X66" s="1"/>
      <c r="Y66" s="1"/>
      <c r="Z66" s="1"/>
      <c r="AA66" s="1"/>
      <c r="AB66" s="1"/>
      <c r="AC66" s="1"/>
      <c r="AD66" s="1"/>
    </row>
    <row r="67" spans="1:30" s="19" customFormat="1" ht="15" customHeight="1" x14ac:dyDescent="0.3">
      <c r="A67" s="71"/>
      <c r="B67" s="28"/>
      <c r="C67" s="29"/>
      <c r="D67" s="29"/>
      <c r="E67" s="29"/>
      <c r="F67" s="28"/>
      <c r="G67" s="30">
        <v>3</v>
      </c>
      <c r="H67" s="26">
        <f t="shared" si="11"/>
        <v>20</v>
      </c>
      <c r="I67" s="31"/>
      <c r="J67" s="31"/>
      <c r="K67" s="31"/>
      <c r="L67" s="31" t="s">
        <v>89</v>
      </c>
      <c r="M67" s="31" t="s">
        <v>90</v>
      </c>
      <c r="N67" s="31" t="s">
        <v>17</v>
      </c>
      <c r="O67" s="31"/>
      <c r="P67" s="31"/>
      <c r="Q67" s="31"/>
      <c r="R67" s="31" t="s">
        <v>90</v>
      </c>
      <c r="S67" s="27"/>
      <c r="T67" s="26"/>
      <c r="U67" s="31"/>
      <c r="V67" s="72"/>
      <c r="W67" s="1"/>
      <c r="X67" s="1"/>
      <c r="Y67" s="1"/>
      <c r="Z67" s="1"/>
      <c r="AA67" s="1"/>
      <c r="AB67" s="1"/>
      <c r="AC67" s="1"/>
      <c r="AD67" s="1"/>
    </row>
    <row r="68" spans="1:30" s="19" customFormat="1" ht="15" customHeight="1" x14ac:dyDescent="0.3">
      <c r="A68" s="71"/>
      <c r="B68" s="28"/>
      <c r="C68" s="29"/>
      <c r="D68" s="29"/>
      <c r="E68" s="29"/>
      <c r="F68" s="28"/>
      <c r="G68" s="30">
        <v>3</v>
      </c>
      <c r="H68" s="26">
        <f t="shared" si="11"/>
        <v>23</v>
      </c>
      <c r="I68" s="31"/>
      <c r="J68" s="31"/>
      <c r="K68" s="31"/>
      <c r="L68" s="31"/>
      <c r="M68" s="31" t="s">
        <v>89</v>
      </c>
      <c r="N68" s="31" t="s">
        <v>89</v>
      </c>
      <c r="O68" s="31"/>
      <c r="P68" s="31"/>
      <c r="Q68" s="31"/>
      <c r="R68" s="31" t="s">
        <v>90</v>
      </c>
      <c r="S68" s="31"/>
      <c r="T68" s="30"/>
      <c r="U68" s="27"/>
      <c r="V68" s="72" t="s">
        <v>0</v>
      </c>
      <c r="W68" s="1"/>
      <c r="X68" s="1"/>
      <c r="Y68" s="1"/>
      <c r="Z68" s="1"/>
      <c r="AA68" s="1"/>
      <c r="AB68" s="1"/>
      <c r="AC68" s="1"/>
      <c r="AD68" s="1"/>
    </row>
    <row r="69" spans="1:30" s="19" customFormat="1" ht="15" customHeight="1" x14ac:dyDescent="0.3">
      <c r="A69" s="71"/>
      <c r="B69" s="28"/>
      <c r="C69" s="29"/>
      <c r="D69" s="29"/>
      <c r="E69" s="29"/>
      <c r="F69" s="28"/>
      <c r="G69" s="30">
        <v>3</v>
      </c>
      <c r="H69" s="26">
        <f t="shared" si="11"/>
        <v>26</v>
      </c>
      <c r="I69" s="31"/>
      <c r="J69" s="31"/>
      <c r="K69" s="31"/>
      <c r="L69" s="31"/>
      <c r="M69" s="31"/>
      <c r="N69" s="31"/>
      <c r="O69" s="31"/>
      <c r="P69" s="31"/>
      <c r="Q69" s="31"/>
      <c r="R69" s="31" t="s">
        <v>89</v>
      </c>
      <c r="S69" s="31"/>
      <c r="T69" s="30"/>
      <c r="U69" s="27"/>
      <c r="V69" s="72" t="s">
        <v>0</v>
      </c>
      <c r="W69" s="1"/>
      <c r="X69" s="1"/>
      <c r="Y69" s="1"/>
      <c r="Z69" s="1"/>
      <c r="AA69" s="1"/>
      <c r="AB69" s="1"/>
      <c r="AC69" s="1"/>
      <c r="AD69" s="1"/>
    </row>
    <row r="70" spans="1:30" s="19" customFormat="1" ht="15" customHeight="1" x14ac:dyDescent="0.3">
      <c r="A70" s="71"/>
      <c r="B70" s="28"/>
      <c r="C70" s="29"/>
      <c r="D70" s="29"/>
      <c r="E70" s="29"/>
      <c r="F70" s="28"/>
      <c r="G70" s="30">
        <v>2</v>
      </c>
      <c r="H70" s="26">
        <f t="shared" si="11"/>
        <v>28</v>
      </c>
      <c r="I70" s="31"/>
      <c r="J70" s="31"/>
      <c r="K70" s="31"/>
      <c r="L70" s="31"/>
      <c r="M70" s="31"/>
      <c r="N70" s="31"/>
      <c r="O70" s="31"/>
      <c r="P70" s="31" t="s">
        <v>17</v>
      </c>
      <c r="Q70" s="31" t="s">
        <v>17</v>
      </c>
      <c r="R70" s="31"/>
      <c r="S70" s="31"/>
      <c r="T70" s="30"/>
      <c r="U70" s="27"/>
      <c r="V70" s="72" t="s">
        <v>0</v>
      </c>
      <c r="W70" s="1"/>
      <c r="X70" s="1"/>
      <c r="Y70" s="1"/>
      <c r="Z70" s="1"/>
      <c r="AA70" s="1"/>
      <c r="AB70" s="1"/>
      <c r="AC70" s="1"/>
      <c r="AD70" s="1"/>
    </row>
    <row r="71" spans="1:30" s="19" customFormat="1" ht="15" customHeight="1" x14ac:dyDescent="0.3">
      <c r="A71" s="71"/>
      <c r="B71" s="28"/>
      <c r="C71" s="29"/>
      <c r="D71" s="29"/>
      <c r="E71" s="29"/>
      <c r="F71" s="28"/>
      <c r="G71" s="103">
        <v>13</v>
      </c>
      <c r="H71" s="26">
        <f t="shared" si="11"/>
        <v>41</v>
      </c>
      <c r="I71" s="31"/>
      <c r="J71" s="31"/>
      <c r="K71" s="31"/>
      <c r="L71" s="31" t="s">
        <v>17</v>
      </c>
      <c r="M71" s="31"/>
      <c r="N71" s="31"/>
      <c r="O71" s="31" t="s">
        <v>17</v>
      </c>
      <c r="P71" s="31" t="s">
        <v>17</v>
      </c>
      <c r="Q71" s="31" t="s">
        <v>17</v>
      </c>
      <c r="R71" s="31"/>
      <c r="S71" s="31" t="s">
        <v>118</v>
      </c>
      <c r="T71" s="30" t="s">
        <v>43</v>
      </c>
      <c r="U71" s="31" t="s">
        <v>119</v>
      </c>
      <c r="V71" s="72" t="s">
        <v>120</v>
      </c>
      <c r="W71" s="1"/>
      <c r="X71" s="1"/>
      <c r="Y71" s="1"/>
      <c r="Z71" s="1"/>
      <c r="AA71" s="1"/>
      <c r="AB71" s="1"/>
      <c r="AC71" s="1"/>
      <c r="AD71" s="1"/>
    </row>
    <row r="72" spans="1:30" s="19" customFormat="1" ht="15" customHeight="1" x14ac:dyDescent="0.3">
      <c r="A72" s="71"/>
      <c r="B72" s="28"/>
      <c r="C72" s="29"/>
      <c r="D72" s="29"/>
      <c r="E72" s="29"/>
      <c r="F72" s="28"/>
      <c r="G72" s="30">
        <v>2</v>
      </c>
      <c r="H72" s="26">
        <f t="shared" si="11"/>
        <v>43</v>
      </c>
      <c r="I72" s="31"/>
      <c r="J72" s="31"/>
      <c r="K72" s="31"/>
      <c r="L72" s="31" t="s">
        <v>90</v>
      </c>
      <c r="M72" s="31"/>
      <c r="N72" s="31"/>
      <c r="O72" s="31" t="s">
        <v>89</v>
      </c>
      <c r="P72" s="31" t="s">
        <v>17</v>
      </c>
      <c r="Q72" s="31" t="s">
        <v>90</v>
      </c>
      <c r="R72" s="31"/>
      <c r="S72" s="31"/>
      <c r="T72" s="30"/>
      <c r="U72" s="27"/>
      <c r="V72" s="72" t="s">
        <v>0</v>
      </c>
      <c r="W72" s="1"/>
      <c r="X72" s="1"/>
      <c r="Y72" s="1"/>
      <c r="Z72" s="1"/>
      <c r="AA72" s="1"/>
      <c r="AB72" s="1"/>
      <c r="AC72" s="1"/>
      <c r="AD72" s="1"/>
    </row>
    <row r="73" spans="1:30" s="19" customFormat="1" ht="15" customHeight="1" x14ac:dyDescent="0.3">
      <c r="A73" s="71"/>
      <c r="B73" s="28"/>
      <c r="C73" s="29"/>
      <c r="D73" s="29"/>
      <c r="E73" s="29"/>
      <c r="F73" s="28"/>
      <c r="G73" s="30">
        <v>180</v>
      </c>
      <c r="H73" s="26">
        <f t="shared" si="11"/>
        <v>223</v>
      </c>
      <c r="I73" s="31"/>
      <c r="J73" s="31"/>
      <c r="K73" s="31"/>
      <c r="L73" s="31" t="s">
        <v>90</v>
      </c>
      <c r="M73" s="31"/>
      <c r="N73" s="31"/>
      <c r="O73" s="31"/>
      <c r="P73" s="31" t="s">
        <v>98</v>
      </c>
      <c r="Q73" s="31" t="s">
        <v>89</v>
      </c>
      <c r="R73" s="31"/>
      <c r="S73" s="33" t="s">
        <v>4</v>
      </c>
      <c r="T73" s="32" t="s">
        <v>43</v>
      </c>
      <c r="U73" s="33" t="s">
        <v>103</v>
      </c>
      <c r="V73" s="72" t="s">
        <v>132</v>
      </c>
      <c r="W73" s="1"/>
      <c r="X73" s="1"/>
      <c r="Y73" s="1"/>
      <c r="Z73" s="1"/>
      <c r="AA73" s="1"/>
      <c r="AB73" s="1"/>
      <c r="AC73" s="1"/>
      <c r="AD73" s="1"/>
    </row>
    <row r="74" spans="1:30" s="19" customFormat="1" ht="15" customHeight="1" thickBot="1" x14ac:dyDescent="0.35">
      <c r="A74" s="74"/>
      <c r="B74" s="34"/>
      <c r="C74" s="35"/>
      <c r="D74" s="35"/>
      <c r="E74" s="35"/>
      <c r="F74" s="28" t="s">
        <v>134</v>
      </c>
      <c r="G74" s="22">
        <v>2</v>
      </c>
      <c r="H74" s="26">
        <f>G74+H73</f>
        <v>225</v>
      </c>
      <c r="I74" s="21"/>
      <c r="J74" s="21"/>
      <c r="K74" s="21"/>
      <c r="L74" s="21" t="s">
        <v>98</v>
      </c>
      <c r="M74" s="21"/>
      <c r="N74" s="21"/>
      <c r="O74" s="21"/>
      <c r="P74" s="21"/>
      <c r="Q74" s="21"/>
      <c r="R74" s="21"/>
      <c r="S74" s="21"/>
      <c r="T74" s="22"/>
      <c r="U74" s="21"/>
      <c r="V74" s="68" t="s">
        <v>0</v>
      </c>
      <c r="W74" s="1">
        <f>SUM($G$64:$G$74)</f>
        <v>225</v>
      </c>
      <c r="X74" s="1"/>
      <c r="Y74" s="1">
        <f>SUM($G$64:$G$74)</f>
        <v>225</v>
      </c>
      <c r="Z74" s="1"/>
      <c r="AA74" s="1">
        <f>SUM($G$64:$G$74)</f>
        <v>225</v>
      </c>
      <c r="AB74" s="1"/>
      <c r="AC74" s="1"/>
      <c r="AD74" s="1"/>
    </row>
    <row r="75" spans="1:30" s="19" customFormat="1" ht="15" customHeight="1" thickTop="1" thickBot="1" x14ac:dyDescent="0.35">
      <c r="A75" s="76">
        <v>17</v>
      </c>
      <c r="B75" s="36" t="s">
        <v>66</v>
      </c>
      <c r="C75" s="37">
        <v>1</v>
      </c>
      <c r="D75" s="25" t="s">
        <v>0</v>
      </c>
      <c r="E75" s="37">
        <v>18</v>
      </c>
      <c r="F75" s="36" t="s">
        <v>67</v>
      </c>
      <c r="G75" s="37" t="s">
        <v>29</v>
      </c>
      <c r="H75" s="37" t="s">
        <v>29</v>
      </c>
      <c r="I75" s="36" t="s">
        <v>0</v>
      </c>
      <c r="J75" s="36" t="s">
        <v>0</v>
      </c>
      <c r="K75" s="36" t="s">
        <v>0</v>
      </c>
      <c r="L75" s="36" t="s">
        <v>0</v>
      </c>
      <c r="M75" s="36" t="s">
        <v>0</v>
      </c>
      <c r="N75" s="36" t="s">
        <v>0</v>
      </c>
      <c r="O75" s="36" t="s">
        <v>0</v>
      </c>
      <c r="P75" s="36" t="s">
        <v>0</v>
      </c>
      <c r="Q75" s="36" t="s">
        <v>0</v>
      </c>
      <c r="R75" s="36" t="s">
        <v>0</v>
      </c>
      <c r="S75" s="36"/>
      <c r="T75" s="37"/>
      <c r="U75" s="36" t="s">
        <v>68</v>
      </c>
      <c r="V75" s="77" t="s">
        <v>0</v>
      </c>
      <c r="W75" s="1"/>
      <c r="X75" s="1"/>
      <c r="Y75" s="1"/>
      <c r="Z75" s="1"/>
      <c r="AA75" s="1"/>
      <c r="AB75" s="1"/>
      <c r="AC75" s="1"/>
      <c r="AD75" s="1"/>
    </row>
    <row r="76" spans="1:30" s="19" customFormat="1" ht="15" customHeight="1" thickTop="1" x14ac:dyDescent="0.3">
      <c r="A76" s="69">
        <v>18</v>
      </c>
      <c r="B76" s="23" t="s">
        <v>66</v>
      </c>
      <c r="C76" s="25">
        <v>1</v>
      </c>
      <c r="D76" s="25">
        <v>18</v>
      </c>
      <c r="E76" s="25" t="s">
        <v>0</v>
      </c>
      <c r="F76" s="23" t="s">
        <v>69</v>
      </c>
      <c r="G76" s="26">
        <v>7</v>
      </c>
      <c r="H76" s="26">
        <f>G76</f>
        <v>7</v>
      </c>
      <c r="I76" s="27"/>
      <c r="J76" s="27"/>
      <c r="K76" s="27"/>
      <c r="L76" s="27"/>
      <c r="M76" s="27"/>
      <c r="N76" s="27"/>
      <c r="O76" s="27"/>
      <c r="P76" s="27"/>
      <c r="Q76" s="27"/>
      <c r="R76" s="27" t="s">
        <v>17</v>
      </c>
      <c r="S76" s="27" t="s">
        <v>33</v>
      </c>
      <c r="T76" s="26" t="s">
        <v>1</v>
      </c>
      <c r="U76" s="27" t="s">
        <v>34</v>
      </c>
      <c r="V76" s="70" t="s">
        <v>35</v>
      </c>
      <c r="W76" s="1"/>
      <c r="X76" s="1"/>
      <c r="Y76" s="1"/>
      <c r="Z76" s="1"/>
      <c r="AA76" s="1"/>
      <c r="AB76" s="1"/>
      <c r="AC76" s="1"/>
      <c r="AD76" s="1"/>
    </row>
    <row r="77" spans="1:30" s="19" customFormat="1" ht="15" customHeight="1" x14ac:dyDescent="0.3">
      <c r="A77" s="71"/>
      <c r="B77" s="28"/>
      <c r="C77" s="29"/>
      <c r="D77" s="29"/>
      <c r="E77" s="29"/>
      <c r="F77" s="28"/>
      <c r="G77" s="30">
        <v>6</v>
      </c>
      <c r="H77" s="30">
        <f t="shared" ref="H77:H83" si="12">G77+H76</f>
        <v>13</v>
      </c>
      <c r="I77" s="31"/>
      <c r="J77" s="31"/>
      <c r="K77" s="31"/>
      <c r="L77" s="31"/>
      <c r="M77" s="31" t="s">
        <v>17</v>
      </c>
      <c r="N77" s="31"/>
      <c r="O77" s="31"/>
      <c r="P77" s="31"/>
      <c r="Q77" s="31"/>
      <c r="R77" s="31" t="s">
        <v>17</v>
      </c>
      <c r="S77" s="27" t="s">
        <v>135</v>
      </c>
      <c r="T77" s="26" t="s">
        <v>1</v>
      </c>
      <c r="U77" s="31" t="s">
        <v>136</v>
      </c>
      <c r="V77" s="72" t="s">
        <v>122</v>
      </c>
      <c r="W77" s="1"/>
      <c r="X77" s="1"/>
      <c r="Y77" s="1"/>
      <c r="Z77" s="1"/>
      <c r="AA77" s="1"/>
      <c r="AB77" s="1"/>
      <c r="AC77" s="1"/>
      <c r="AD77" s="1"/>
    </row>
    <row r="78" spans="1:30" s="19" customFormat="1" ht="15" customHeight="1" x14ac:dyDescent="0.3">
      <c r="A78" s="71"/>
      <c r="B78" s="28"/>
      <c r="C78" s="29"/>
      <c r="D78" s="29"/>
      <c r="E78" s="29"/>
      <c r="F78" s="28"/>
      <c r="G78" s="30">
        <v>6</v>
      </c>
      <c r="H78" s="30">
        <f t="shared" si="12"/>
        <v>19</v>
      </c>
      <c r="I78" s="31"/>
      <c r="J78" s="31"/>
      <c r="K78" s="31"/>
      <c r="L78" s="31" t="s">
        <v>17</v>
      </c>
      <c r="M78" s="31" t="s">
        <v>17</v>
      </c>
      <c r="N78" s="31"/>
      <c r="O78" s="31"/>
      <c r="P78" s="31"/>
      <c r="Q78" s="31"/>
      <c r="R78" s="31" t="s">
        <v>17</v>
      </c>
      <c r="S78" s="31"/>
      <c r="T78" s="30"/>
      <c r="U78" s="31"/>
      <c r="V78" s="72" t="s">
        <v>0</v>
      </c>
      <c r="W78" s="1"/>
      <c r="X78" s="1"/>
      <c r="Y78" s="1"/>
      <c r="Z78" s="1"/>
      <c r="AA78" s="1"/>
      <c r="AB78" s="1"/>
      <c r="AC78" s="1"/>
      <c r="AD78" s="1"/>
    </row>
    <row r="79" spans="1:30" s="19" customFormat="1" ht="15" customHeight="1" x14ac:dyDescent="0.3">
      <c r="A79" s="71"/>
      <c r="B79" s="28"/>
      <c r="C79" s="29"/>
      <c r="D79" s="29"/>
      <c r="E79" s="29"/>
      <c r="F79" s="28"/>
      <c r="G79" s="30">
        <v>6</v>
      </c>
      <c r="H79" s="30">
        <f t="shared" si="12"/>
        <v>25</v>
      </c>
      <c r="I79" s="31"/>
      <c r="J79" s="31"/>
      <c r="K79" s="31"/>
      <c r="L79" s="31" t="s">
        <v>17</v>
      </c>
      <c r="M79" s="31" t="s">
        <v>17</v>
      </c>
      <c r="N79" s="31" t="s">
        <v>17</v>
      </c>
      <c r="O79" s="31" t="s">
        <v>17</v>
      </c>
      <c r="P79" s="31"/>
      <c r="Q79" s="31"/>
      <c r="R79" s="31" t="s">
        <v>17</v>
      </c>
      <c r="S79" s="31"/>
      <c r="T79" s="30"/>
      <c r="U79" s="31" t="s">
        <v>181</v>
      </c>
      <c r="V79" s="72"/>
      <c r="W79" s="1"/>
      <c r="X79" s="1"/>
      <c r="Y79" s="1"/>
      <c r="Z79" s="1"/>
      <c r="AA79" s="1"/>
      <c r="AB79" s="1"/>
      <c r="AC79" s="1"/>
      <c r="AD79" s="1"/>
    </row>
    <row r="80" spans="1:30" s="19" customFormat="1" ht="15" customHeight="1" x14ac:dyDescent="0.3">
      <c r="A80" s="71"/>
      <c r="B80" s="28"/>
      <c r="C80" s="29"/>
      <c r="D80" s="29"/>
      <c r="E80" s="29"/>
      <c r="F80" s="28"/>
      <c r="G80" s="30">
        <v>2</v>
      </c>
      <c r="H80" s="30">
        <f t="shared" si="12"/>
        <v>27</v>
      </c>
      <c r="I80" s="31"/>
      <c r="J80" s="31"/>
      <c r="K80" s="31"/>
      <c r="L80" s="31" t="s">
        <v>17</v>
      </c>
      <c r="M80" s="31" t="s">
        <v>11</v>
      </c>
      <c r="N80" s="31" t="s">
        <v>17</v>
      </c>
      <c r="O80" s="31" t="s">
        <v>17</v>
      </c>
      <c r="P80" s="31"/>
      <c r="Q80" s="31"/>
      <c r="R80" s="31" t="s">
        <v>17</v>
      </c>
      <c r="S80" s="27" t="s">
        <v>137</v>
      </c>
      <c r="T80" s="26" t="s">
        <v>1</v>
      </c>
      <c r="U80" s="31" t="s">
        <v>138</v>
      </c>
      <c r="V80" s="72" t="s">
        <v>122</v>
      </c>
      <c r="W80" s="1"/>
      <c r="X80" s="1"/>
      <c r="Y80" s="1"/>
      <c r="Z80" s="1"/>
      <c r="AA80" s="1"/>
      <c r="AB80" s="1"/>
      <c r="AC80" s="1"/>
      <c r="AD80" s="1"/>
    </row>
    <row r="81" spans="1:38" s="19" customFormat="1" ht="15" customHeight="1" x14ac:dyDescent="0.3">
      <c r="A81" s="71"/>
      <c r="B81" s="28"/>
      <c r="C81" s="29"/>
      <c r="D81" s="29"/>
      <c r="E81" s="29"/>
      <c r="F81" s="28"/>
      <c r="G81" s="32">
        <v>2</v>
      </c>
      <c r="H81" s="30">
        <f t="shared" si="12"/>
        <v>29</v>
      </c>
      <c r="I81" s="33"/>
      <c r="J81" s="33"/>
      <c r="K81" s="33"/>
      <c r="L81" s="33" t="s">
        <v>17</v>
      </c>
      <c r="M81" s="33"/>
      <c r="N81" s="33" t="s">
        <v>11</v>
      </c>
      <c r="O81" s="33" t="s">
        <v>98</v>
      </c>
      <c r="P81" s="33"/>
      <c r="Q81" s="33"/>
      <c r="R81" s="33" t="s">
        <v>17</v>
      </c>
      <c r="S81" s="33"/>
      <c r="T81" s="32"/>
      <c r="U81" s="33"/>
      <c r="V81" s="73"/>
      <c r="W81" s="1"/>
      <c r="X81" s="1"/>
      <c r="Y81" s="1"/>
      <c r="Z81" s="1"/>
      <c r="AA81" s="1"/>
      <c r="AB81" s="1"/>
      <c r="AC81" s="1"/>
      <c r="AD81" s="1"/>
    </row>
    <row r="82" spans="1:38" s="19" customFormat="1" ht="15" customHeight="1" x14ac:dyDescent="0.3">
      <c r="A82" s="71"/>
      <c r="B82" s="28"/>
      <c r="C82" s="29"/>
      <c r="D82" s="29"/>
      <c r="E82" s="29"/>
      <c r="F82" s="28"/>
      <c r="G82" s="32">
        <v>2</v>
      </c>
      <c r="H82" s="30">
        <f t="shared" si="12"/>
        <v>31</v>
      </c>
      <c r="I82" s="33"/>
      <c r="J82" s="33"/>
      <c r="K82" s="33"/>
      <c r="L82" s="33" t="s">
        <v>11</v>
      </c>
      <c r="M82" s="33"/>
      <c r="N82" s="33"/>
      <c r="O82" s="33"/>
      <c r="P82" s="33"/>
      <c r="Q82" s="33"/>
      <c r="R82" s="33" t="s">
        <v>17</v>
      </c>
      <c r="S82" s="33"/>
      <c r="T82" s="32"/>
      <c r="U82" s="33"/>
      <c r="V82" s="73" t="s">
        <v>0</v>
      </c>
      <c r="W82" s="1"/>
      <c r="X82" s="1"/>
      <c r="Y82" s="1"/>
      <c r="Z82" s="1"/>
      <c r="AA82" s="1"/>
      <c r="AB82" s="1"/>
      <c r="AC82" s="1"/>
      <c r="AD82" s="1"/>
    </row>
    <row r="83" spans="1:38" s="19" customFormat="1" ht="15" customHeight="1" thickBot="1" x14ac:dyDescent="0.35">
      <c r="A83" s="74"/>
      <c r="B83" s="34"/>
      <c r="C83" s="35"/>
      <c r="D83" s="35"/>
      <c r="E83" s="35"/>
      <c r="F83" s="34"/>
      <c r="G83" s="22">
        <v>2</v>
      </c>
      <c r="H83" s="22">
        <f t="shared" si="12"/>
        <v>33</v>
      </c>
      <c r="I83" s="21"/>
      <c r="J83" s="21"/>
      <c r="K83" s="21"/>
      <c r="L83" s="21"/>
      <c r="M83" s="21"/>
      <c r="N83" s="21"/>
      <c r="O83" s="21"/>
      <c r="P83" s="21"/>
      <c r="Q83" s="21"/>
      <c r="R83" s="21" t="s">
        <v>11</v>
      </c>
      <c r="S83" s="21"/>
      <c r="T83" s="22"/>
      <c r="U83" s="21"/>
      <c r="V83" s="68" t="s">
        <v>0</v>
      </c>
      <c r="W83" s="1">
        <f>SUM(G76:G83)</f>
        <v>33</v>
      </c>
      <c r="X83" s="1"/>
      <c r="Y83" s="1">
        <f>SUM(G76:G83)</f>
        <v>33</v>
      </c>
      <c r="Z83" s="1"/>
      <c r="AA83" s="1">
        <f>SUM(G76:G83)</f>
        <v>33</v>
      </c>
      <c r="AB83" s="1"/>
      <c r="AC83" s="1"/>
      <c r="AD83" s="1"/>
    </row>
    <row r="84" spans="1:38" s="19" customFormat="1" ht="15" customHeight="1" thickTop="1" thickBot="1" x14ac:dyDescent="0.35">
      <c r="A84" s="76">
        <v>19</v>
      </c>
      <c r="B84" s="36" t="s">
        <v>72</v>
      </c>
      <c r="C84" s="37">
        <v>1</v>
      </c>
      <c r="D84" s="25" t="s">
        <v>0</v>
      </c>
      <c r="E84" s="37">
        <v>20</v>
      </c>
      <c r="F84" s="36" t="s">
        <v>139</v>
      </c>
      <c r="G84" s="37" t="s">
        <v>29</v>
      </c>
      <c r="H84" s="37" t="s">
        <v>29</v>
      </c>
      <c r="I84" s="36" t="s">
        <v>17</v>
      </c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7"/>
      <c r="U84" s="36" t="s">
        <v>30</v>
      </c>
      <c r="V84" s="77" t="s">
        <v>0</v>
      </c>
      <c r="W84" s="1"/>
      <c r="X84" s="1"/>
      <c r="Y84" s="1"/>
      <c r="Z84" s="1"/>
      <c r="AA84" s="1"/>
      <c r="AB84" s="1"/>
      <c r="AC84" s="1"/>
      <c r="AD84" s="1"/>
    </row>
    <row r="85" spans="1:38" s="19" customFormat="1" ht="15" customHeight="1" thickTop="1" thickBot="1" x14ac:dyDescent="0.35">
      <c r="A85" s="76">
        <v>20</v>
      </c>
      <c r="B85" s="36" t="s">
        <v>73</v>
      </c>
      <c r="C85" s="37">
        <v>1</v>
      </c>
      <c r="D85" s="37">
        <v>20</v>
      </c>
      <c r="E85" s="37" t="s">
        <v>0</v>
      </c>
      <c r="F85" s="36" t="s">
        <v>73</v>
      </c>
      <c r="G85" s="37">
        <v>30</v>
      </c>
      <c r="H85" s="37">
        <v>30</v>
      </c>
      <c r="I85" s="36" t="s">
        <v>17</v>
      </c>
      <c r="J85" s="36"/>
      <c r="K85" s="36"/>
      <c r="L85" s="36"/>
      <c r="M85" s="36"/>
      <c r="N85" s="36"/>
      <c r="O85" s="36"/>
      <c r="P85" s="36"/>
      <c r="Q85" s="36"/>
      <c r="R85" s="36"/>
      <c r="S85" s="36" t="s">
        <v>3</v>
      </c>
      <c r="T85" s="37" t="s">
        <v>1</v>
      </c>
      <c r="U85" s="36" t="s">
        <v>140</v>
      </c>
      <c r="V85" s="77" t="s">
        <v>74</v>
      </c>
      <c r="W85" s="1">
        <f>SUM(G85)</f>
        <v>30</v>
      </c>
      <c r="X85" s="1"/>
      <c r="Y85" s="1">
        <f>SUM(G85)</f>
        <v>30</v>
      </c>
      <c r="Z85" s="1"/>
      <c r="AA85" s="1">
        <f>SUM(G85)</f>
        <v>30</v>
      </c>
      <c r="AB85" s="1"/>
      <c r="AC85" s="1"/>
      <c r="AD85" s="1"/>
    </row>
    <row r="86" spans="1:38" s="19" customFormat="1" ht="15" customHeight="1" thickTop="1" thickBot="1" x14ac:dyDescent="0.35">
      <c r="A86" s="76">
        <v>21</v>
      </c>
      <c r="B86" s="36" t="s">
        <v>75</v>
      </c>
      <c r="C86" s="37">
        <v>1</v>
      </c>
      <c r="D86" s="37">
        <v>20</v>
      </c>
      <c r="E86" s="37">
        <v>22</v>
      </c>
      <c r="F86" s="36" t="s">
        <v>113</v>
      </c>
      <c r="G86" s="37" t="s">
        <v>29</v>
      </c>
      <c r="H86" s="37" t="s">
        <v>29</v>
      </c>
      <c r="I86" s="36" t="s">
        <v>17</v>
      </c>
      <c r="J86" s="36"/>
      <c r="K86" s="36"/>
      <c r="L86" s="36" t="s">
        <v>17</v>
      </c>
      <c r="M86" s="36"/>
      <c r="N86" s="36"/>
      <c r="O86" s="36"/>
      <c r="P86" s="36"/>
      <c r="Q86" s="36"/>
      <c r="R86" s="36"/>
      <c r="S86" s="36" t="s">
        <v>3</v>
      </c>
      <c r="T86" s="37" t="s">
        <v>43</v>
      </c>
      <c r="U86" s="36" t="s">
        <v>141</v>
      </c>
      <c r="V86" s="77" t="s">
        <v>74</v>
      </c>
      <c r="W86" s="1"/>
      <c r="X86" s="1"/>
      <c r="Y86" s="1"/>
      <c r="Z86" s="1"/>
      <c r="AA86" s="1"/>
      <c r="AB86" s="1"/>
      <c r="AC86" s="1"/>
      <c r="AD86" s="1"/>
    </row>
    <row r="87" spans="1:38" s="19" customFormat="1" ht="15" customHeight="1" thickTop="1" x14ac:dyDescent="0.3">
      <c r="A87" s="97">
        <v>22</v>
      </c>
      <c r="B87" s="105" t="s">
        <v>178</v>
      </c>
      <c r="C87" s="98" t="s">
        <v>171</v>
      </c>
      <c r="D87" s="98">
        <v>22</v>
      </c>
      <c r="E87" s="98" t="s">
        <v>180</v>
      </c>
      <c r="F87" s="97" t="s">
        <v>172</v>
      </c>
      <c r="G87" s="99" t="s">
        <v>173</v>
      </c>
      <c r="H87" s="99" t="s">
        <v>173</v>
      </c>
      <c r="I87" s="100" t="s">
        <v>89</v>
      </c>
      <c r="J87" s="100"/>
      <c r="K87" s="100"/>
      <c r="L87" s="100" t="s">
        <v>89</v>
      </c>
      <c r="M87" s="100"/>
      <c r="N87" s="100"/>
      <c r="O87" s="100"/>
      <c r="P87" s="100"/>
      <c r="Q87" s="100"/>
      <c r="R87" s="100"/>
      <c r="S87" s="100"/>
      <c r="T87" s="99"/>
      <c r="U87" s="100"/>
      <c r="V87" s="100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s="19" customFormat="1" ht="15" customHeight="1" x14ac:dyDescent="0.3">
      <c r="A88" s="101"/>
      <c r="B88" s="106" t="s">
        <v>179</v>
      </c>
      <c r="C88" s="102"/>
      <c r="D88" s="102"/>
      <c r="E88" s="102"/>
      <c r="F88" s="101" t="s">
        <v>174</v>
      </c>
      <c r="G88" s="103">
        <v>7</v>
      </c>
      <c r="H88" s="103">
        <f>G88</f>
        <v>7</v>
      </c>
      <c r="I88" s="104"/>
      <c r="J88" s="104"/>
      <c r="K88" s="104"/>
      <c r="L88" s="104"/>
      <c r="M88" s="104"/>
      <c r="N88" s="104"/>
      <c r="O88" s="104"/>
      <c r="P88" s="104"/>
      <c r="Q88" s="104"/>
      <c r="R88" s="104" t="s">
        <v>90</v>
      </c>
      <c r="S88" s="100" t="s">
        <v>33</v>
      </c>
      <c r="T88" s="99" t="s">
        <v>1</v>
      </c>
      <c r="U88" s="100" t="s">
        <v>34</v>
      </c>
      <c r="V88" s="100" t="s">
        <v>35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s="19" customFormat="1" ht="15" customHeight="1" x14ac:dyDescent="0.3">
      <c r="A89" s="101"/>
      <c r="B89" s="106"/>
      <c r="C89" s="102"/>
      <c r="D89" s="102"/>
      <c r="E89" s="102"/>
      <c r="F89" s="101"/>
      <c r="G89" s="103">
        <v>6</v>
      </c>
      <c r="H89" s="103">
        <f>H88+G89</f>
        <v>13</v>
      </c>
      <c r="I89" s="104"/>
      <c r="J89" s="104"/>
      <c r="K89" s="104"/>
      <c r="L89" s="104"/>
      <c r="M89" s="104" t="s">
        <v>17</v>
      </c>
      <c r="N89" s="104"/>
      <c r="O89" s="104"/>
      <c r="P89" s="104"/>
      <c r="Q89" s="104"/>
      <c r="R89" s="104" t="s">
        <v>90</v>
      </c>
      <c r="S89" s="104"/>
      <c r="T89" s="103"/>
      <c r="U89" s="104"/>
      <c r="V89" s="104" t="s">
        <v>0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s="19" customFormat="1" ht="15" customHeight="1" x14ac:dyDescent="0.3">
      <c r="A90" s="101"/>
      <c r="B90" s="101"/>
      <c r="C90" s="102"/>
      <c r="D90" s="102"/>
      <c r="E90" s="102"/>
      <c r="F90" s="101"/>
      <c r="G90" s="103">
        <v>2</v>
      </c>
      <c r="H90" s="103">
        <f t="shared" ref="H90:H93" si="13">H89+G90</f>
        <v>15</v>
      </c>
      <c r="I90" s="104"/>
      <c r="J90" s="104"/>
      <c r="K90" s="104"/>
      <c r="L90" s="104"/>
      <c r="M90" s="104" t="s">
        <v>11</v>
      </c>
      <c r="N90" s="104"/>
      <c r="O90" s="104"/>
      <c r="P90" s="104"/>
      <c r="Q90" s="104"/>
      <c r="R90" s="104" t="s">
        <v>90</v>
      </c>
      <c r="S90" s="104"/>
      <c r="T90" s="103"/>
      <c r="U90" s="104"/>
      <c r="V90" s="104" t="s">
        <v>0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s="19" customFormat="1" ht="15" customHeight="1" x14ac:dyDescent="0.3">
      <c r="A91" s="101"/>
      <c r="B91" s="101"/>
      <c r="C91" s="102"/>
      <c r="D91" s="102"/>
      <c r="E91" s="102"/>
      <c r="F91" s="101"/>
      <c r="G91" s="103">
        <v>7</v>
      </c>
      <c r="H91" s="103">
        <f t="shared" si="13"/>
        <v>22</v>
      </c>
      <c r="I91" s="104"/>
      <c r="J91" s="104"/>
      <c r="K91" s="104"/>
      <c r="L91" s="104" t="s">
        <v>17</v>
      </c>
      <c r="M91" s="104"/>
      <c r="N91" s="104"/>
      <c r="O91" s="104"/>
      <c r="P91" s="104"/>
      <c r="Q91" s="104"/>
      <c r="R91" s="104" t="s">
        <v>90</v>
      </c>
      <c r="S91" s="104"/>
      <c r="T91" s="103"/>
      <c r="U91" s="104"/>
      <c r="V91" s="104" t="s">
        <v>0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s="19" customFormat="1" ht="15" customHeight="1" x14ac:dyDescent="0.3">
      <c r="A92" s="101"/>
      <c r="B92" s="101"/>
      <c r="C92" s="102"/>
      <c r="D92" s="102"/>
      <c r="E92" s="102"/>
      <c r="F92" s="101"/>
      <c r="G92" s="103">
        <v>2</v>
      </c>
      <c r="H92" s="103">
        <f t="shared" si="13"/>
        <v>24</v>
      </c>
      <c r="I92" s="104"/>
      <c r="J92" s="104"/>
      <c r="K92" s="104"/>
      <c r="L92" s="104" t="s">
        <v>11</v>
      </c>
      <c r="M92" s="104"/>
      <c r="N92" s="104"/>
      <c r="O92" s="104"/>
      <c r="P92" s="104"/>
      <c r="Q92" s="104"/>
      <c r="R92" s="104" t="s">
        <v>90</v>
      </c>
      <c r="S92" s="104"/>
      <c r="T92" s="103" t="s">
        <v>1</v>
      </c>
      <c r="U92" s="104" t="s">
        <v>177</v>
      </c>
      <c r="V92" s="104" t="s">
        <v>176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s="19" customFormat="1" ht="15" customHeight="1" x14ac:dyDescent="0.3">
      <c r="A93" s="101"/>
      <c r="B93" s="101"/>
      <c r="C93" s="102"/>
      <c r="D93" s="102"/>
      <c r="E93" s="102"/>
      <c r="F93" s="101"/>
      <c r="G93" s="103">
        <v>2</v>
      </c>
      <c r="H93" s="103">
        <f t="shared" si="13"/>
        <v>26</v>
      </c>
      <c r="I93" s="104"/>
      <c r="J93" s="104"/>
      <c r="K93" s="104"/>
      <c r="L93" s="104"/>
      <c r="M93" s="104"/>
      <c r="N93" s="104"/>
      <c r="O93" s="104"/>
      <c r="P93" s="104"/>
      <c r="Q93" s="104"/>
      <c r="R93" s="104" t="s">
        <v>89</v>
      </c>
      <c r="S93" s="104"/>
      <c r="T93" s="103"/>
      <c r="U93" s="104"/>
      <c r="V93" s="104" t="s">
        <v>0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s="19" customFormat="1" ht="15" customHeight="1" thickBot="1" x14ac:dyDescent="0.35">
      <c r="A94" s="101"/>
      <c r="B94" s="101"/>
      <c r="C94" s="102"/>
      <c r="D94" s="102"/>
      <c r="E94" s="102"/>
      <c r="F94" s="101" t="s">
        <v>175</v>
      </c>
      <c r="G94" s="103" t="s">
        <v>173</v>
      </c>
      <c r="H94" s="103" t="s">
        <v>173</v>
      </c>
      <c r="I94" s="104" t="s">
        <v>90</v>
      </c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3"/>
      <c r="U94" s="104"/>
      <c r="V94" s="104" t="s">
        <v>0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s="19" customFormat="1" ht="15" customHeight="1" thickTop="1" thickBot="1" x14ac:dyDescent="0.35">
      <c r="A95" s="76">
        <v>23</v>
      </c>
      <c r="B95" s="36" t="s">
        <v>76</v>
      </c>
      <c r="C95" s="37">
        <v>1</v>
      </c>
      <c r="D95" s="37">
        <v>20</v>
      </c>
      <c r="E95" s="37">
        <v>24</v>
      </c>
      <c r="F95" s="36" t="s">
        <v>77</v>
      </c>
      <c r="G95" s="37" t="s">
        <v>29</v>
      </c>
      <c r="H95" s="37" t="s">
        <v>29</v>
      </c>
      <c r="I95" s="36" t="s">
        <v>17</v>
      </c>
      <c r="J95" s="36"/>
      <c r="K95" s="36"/>
      <c r="L95" s="36" t="s">
        <v>17</v>
      </c>
      <c r="M95" s="36"/>
      <c r="N95" s="36"/>
      <c r="O95" s="36"/>
      <c r="P95" s="36"/>
      <c r="Q95" s="36"/>
      <c r="R95" s="36"/>
      <c r="S95" s="36" t="s">
        <v>3</v>
      </c>
      <c r="T95" s="37" t="s">
        <v>43</v>
      </c>
      <c r="U95" s="36" t="s">
        <v>141</v>
      </c>
      <c r="V95" s="77" t="s">
        <v>74</v>
      </c>
      <c r="W95" s="1"/>
      <c r="X95" s="1"/>
      <c r="Y95" s="1"/>
      <c r="Z95" s="1"/>
      <c r="AA95" s="1"/>
      <c r="AB95" s="1"/>
      <c r="AC95" s="1"/>
      <c r="AD95" s="1"/>
    </row>
    <row r="96" spans="1:38" s="19" customFormat="1" ht="15" customHeight="1" thickTop="1" thickBot="1" x14ac:dyDescent="0.35">
      <c r="A96" s="76">
        <v>24</v>
      </c>
      <c r="B96" s="36" t="s">
        <v>76</v>
      </c>
      <c r="C96" s="37">
        <v>1</v>
      </c>
      <c r="D96" s="37">
        <v>20</v>
      </c>
      <c r="E96" s="37">
        <v>25</v>
      </c>
      <c r="F96" s="36" t="s">
        <v>78</v>
      </c>
      <c r="G96" s="37" t="s">
        <v>29</v>
      </c>
      <c r="H96" s="37" t="s">
        <v>29</v>
      </c>
      <c r="I96" s="36" t="s">
        <v>17</v>
      </c>
      <c r="J96" s="36"/>
      <c r="K96" s="36"/>
      <c r="L96" s="36" t="s">
        <v>17</v>
      </c>
      <c r="M96" s="36"/>
      <c r="N96" s="36"/>
      <c r="O96" s="36"/>
      <c r="P96" s="36"/>
      <c r="Q96" s="36"/>
      <c r="R96" s="36"/>
      <c r="S96" s="36" t="s">
        <v>3</v>
      </c>
      <c r="T96" s="37" t="s">
        <v>43</v>
      </c>
      <c r="U96" s="36" t="s">
        <v>141</v>
      </c>
      <c r="V96" s="89" t="s">
        <v>74</v>
      </c>
      <c r="W96" s="1"/>
      <c r="X96" s="1"/>
      <c r="Y96" s="1"/>
      <c r="Z96" s="1"/>
      <c r="AA96" s="1"/>
      <c r="AB96" s="1"/>
      <c r="AC96" s="1"/>
      <c r="AD96" s="1"/>
    </row>
    <row r="97" spans="1:30" s="19" customFormat="1" ht="15" customHeight="1" thickTop="1" x14ac:dyDescent="0.3">
      <c r="A97" s="82">
        <v>25</v>
      </c>
      <c r="B97" s="45" t="s">
        <v>104</v>
      </c>
      <c r="C97" s="46">
        <v>1</v>
      </c>
      <c r="D97" s="46"/>
      <c r="E97" s="46"/>
      <c r="F97" s="45" t="s">
        <v>105</v>
      </c>
      <c r="G97" s="46">
        <v>2</v>
      </c>
      <c r="H97" s="46">
        <v>2</v>
      </c>
      <c r="I97" s="45" t="s">
        <v>17</v>
      </c>
      <c r="J97" s="45"/>
      <c r="K97" s="45" t="s">
        <v>17</v>
      </c>
      <c r="L97" s="45" t="s">
        <v>17</v>
      </c>
      <c r="M97" s="45"/>
      <c r="N97" s="45"/>
      <c r="O97" s="45"/>
      <c r="P97" s="45"/>
      <c r="Q97" s="45"/>
      <c r="R97" s="45"/>
      <c r="S97" s="45"/>
      <c r="T97" s="46"/>
      <c r="U97" s="45"/>
      <c r="V97" s="80"/>
      <c r="W97" s="1">
        <f>SUM(G97)</f>
        <v>2</v>
      </c>
      <c r="X97" s="1"/>
      <c r="Y97" s="1">
        <f>SUM(G97)</f>
        <v>2</v>
      </c>
      <c r="Z97" s="1"/>
      <c r="AA97" s="1">
        <f>SUM(G97)</f>
        <v>2</v>
      </c>
      <c r="AB97" s="1"/>
      <c r="AC97" s="1"/>
      <c r="AD97" s="1"/>
    </row>
    <row r="98" spans="1:30" ht="15" customHeight="1" x14ac:dyDescent="0.3">
      <c r="A98" s="1" t="s">
        <v>79</v>
      </c>
      <c r="B98" s="1"/>
      <c r="C98" s="2"/>
      <c r="D98" s="2"/>
      <c r="E98" s="2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1"/>
      <c r="V98" s="1"/>
      <c r="W98" s="14">
        <f>SUM(W11:W97)</f>
        <v>2342</v>
      </c>
      <c r="X98" s="95" t="s">
        <v>167</v>
      </c>
      <c r="Y98" s="14">
        <f>SUM(Y11:Y97)</f>
        <v>3654</v>
      </c>
      <c r="Z98" s="95" t="s">
        <v>167</v>
      </c>
      <c r="AA98" s="14">
        <f>SUM(AA11:AA97)</f>
        <v>11854</v>
      </c>
    </row>
    <row r="99" spans="1:30" ht="15" customHeight="1" x14ac:dyDescent="0.3">
      <c r="A99" s="1"/>
      <c r="B99" s="1"/>
      <c r="C99" s="2"/>
      <c r="D99" s="2"/>
      <c r="E99" s="2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1"/>
      <c r="V99" s="1"/>
      <c r="W99" s="15">
        <f>SUM(W98/3600)</f>
        <v>0.65055555555555555</v>
      </c>
      <c r="X99" s="15">
        <f>SUM((W98-(W101*3600))/60)</f>
        <v>39.033333333333331</v>
      </c>
      <c r="Y99" s="15">
        <f>SUM(Y98/3600)</f>
        <v>1.0149999999999999</v>
      </c>
      <c r="Z99" s="15">
        <f>SUM((Y98-(Y101*3600))/60)</f>
        <v>0.9</v>
      </c>
      <c r="AA99" s="15">
        <f>SUM(AA98/3600)</f>
        <v>3.2927777777777778</v>
      </c>
      <c r="AB99" s="15">
        <f>SUM((AA98-(AA101*3600))/60)</f>
        <v>17.566666666666666</v>
      </c>
    </row>
    <row r="100" spans="1:30" ht="15" customHeight="1" x14ac:dyDescent="0.3">
      <c r="A100" s="1"/>
      <c r="B100" s="1"/>
      <c r="C100" s="2"/>
      <c r="D100" s="2"/>
      <c r="E100" s="2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1"/>
      <c r="V100" s="1"/>
      <c r="W100" s="96">
        <v>2</v>
      </c>
      <c r="X100" s="17" t="s">
        <v>21</v>
      </c>
      <c r="Y100" s="96">
        <v>10</v>
      </c>
      <c r="Z100" s="17" t="s">
        <v>21</v>
      </c>
      <c r="AA100" s="96">
        <v>60</v>
      </c>
      <c r="AB100" s="17" t="s">
        <v>21</v>
      </c>
    </row>
    <row r="101" spans="1:30" ht="15" customHeight="1" x14ac:dyDescent="0.3">
      <c r="A101" s="1"/>
      <c r="B101" s="1"/>
      <c r="C101" s="2"/>
      <c r="D101" s="2"/>
      <c r="E101" s="2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1"/>
      <c r="V101" s="1"/>
      <c r="W101" s="16">
        <f>INT(W99)</f>
        <v>0</v>
      </c>
      <c r="X101" s="1" t="s">
        <v>82</v>
      </c>
      <c r="Y101" s="16">
        <f>INT(Y99)</f>
        <v>1</v>
      </c>
      <c r="Z101" s="1" t="s">
        <v>168</v>
      </c>
      <c r="AA101" s="16">
        <f>INT(AA99)</f>
        <v>3</v>
      </c>
      <c r="AB101" s="1" t="s">
        <v>168</v>
      </c>
    </row>
    <row r="102" spans="1:30" ht="15" customHeight="1" x14ac:dyDescent="0.3">
      <c r="A102" s="1"/>
      <c r="B102" s="1"/>
      <c r="C102" s="2"/>
      <c r="D102" s="2"/>
      <c r="E102" s="2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1"/>
      <c r="V102" s="1"/>
      <c r="W102" s="16">
        <f>INT(X99)</f>
        <v>39</v>
      </c>
      <c r="X102" s="1" t="s">
        <v>83</v>
      </c>
      <c r="Y102" s="16">
        <f>INT(Z99)</f>
        <v>0</v>
      </c>
      <c r="Z102" s="1" t="s">
        <v>169</v>
      </c>
      <c r="AA102" s="16">
        <f>INT(AB99)</f>
        <v>17</v>
      </c>
      <c r="AB102" s="1" t="s">
        <v>169</v>
      </c>
    </row>
    <row r="103" spans="1:30" ht="15" customHeight="1" x14ac:dyDescent="0.3">
      <c r="A103" s="1"/>
      <c r="B103" s="1"/>
      <c r="C103" s="2"/>
      <c r="D103" s="2"/>
      <c r="E103" s="2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1"/>
      <c r="V103" s="1"/>
      <c r="W103" s="18">
        <f>SUM(W98-((W101*3600)+(W102*60)))</f>
        <v>2</v>
      </c>
      <c r="X103" s="1" t="s">
        <v>80</v>
      </c>
      <c r="Y103" s="18">
        <f>SUM(Y98-((Y101*3600)+(Y102*60)))</f>
        <v>54</v>
      </c>
      <c r="Z103" s="1" t="s">
        <v>170</v>
      </c>
      <c r="AA103" s="18">
        <f>SUM(AA98-((AA101*3600)+(AA102*60)))</f>
        <v>34</v>
      </c>
      <c r="AB103" s="1" t="s">
        <v>170</v>
      </c>
    </row>
    <row r="104" spans="1:30" ht="15" customHeight="1" x14ac:dyDescent="0.3">
      <c r="A104" s="1"/>
      <c r="B104" s="1"/>
      <c r="C104" s="2"/>
      <c r="D104" s="2"/>
      <c r="E104" s="2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1"/>
      <c r="V104" s="1"/>
    </row>
  </sheetData>
  <phoneticPr fontId="5" type="noConversion"/>
  <pageMargins left="0.7" right="0.7" top="0.75" bottom="0.75" header="0.3" footer="0.3"/>
  <pageSetup paperSize="9" scale="39" orientation="portrait" r:id="rId1"/>
  <colBreaks count="1" manualBreakCount="1">
    <brk id="22" max="1048575" man="1"/>
  </colBreaks>
  <ignoredErrors>
    <ignoredError sqref="H3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03"/>
  <sheetViews>
    <sheetView tabSelected="1" view="pageBreakPreview" zoomScaleNormal="85" zoomScaleSheetLayoutView="100" workbookViewId="0">
      <pane xSplit="8" ySplit="6" topLeftCell="J7" activePane="bottomRight" state="frozen"/>
      <selection activeCell="D42" sqref="D42"/>
      <selection pane="topRight" activeCell="D42" sqref="D42"/>
      <selection pane="bottomLeft" activeCell="D42" sqref="D42"/>
      <selection pane="bottomRight" activeCell="U17" sqref="U17"/>
    </sheetView>
  </sheetViews>
  <sheetFormatPr defaultColWidth="12.625" defaultRowHeight="15" customHeight="1" x14ac:dyDescent="0.3"/>
  <cols>
    <col min="1" max="1" width="4.25" customWidth="1"/>
    <col min="2" max="2" width="19.75" customWidth="1"/>
    <col min="3" max="5" width="5.125" customWidth="1"/>
    <col min="6" max="6" width="36.125" bestFit="1" customWidth="1"/>
    <col min="7" max="8" width="4.25" customWidth="1"/>
    <col min="9" max="18" width="1.875" customWidth="1"/>
    <col min="19" max="19" width="10" bestFit="1" customWidth="1"/>
    <col min="20" max="20" width="5" customWidth="1"/>
    <col min="21" max="21" width="47.625" customWidth="1"/>
    <col min="22" max="22" width="34.625" bestFit="1" customWidth="1"/>
    <col min="23" max="27" width="6.875" style="19" customWidth="1"/>
    <col min="28" max="28" width="5.625" style="19" bestFit="1" customWidth="1"/>
    <col min="29" max="29" width="12.625" style="19"/>
    <col min="30" max="38" width="7.125" customWidth="1"/>
  </cols>
  <sheetData>
    <row r="1" spans="1:38" ht="15" customHeight="1" x14ac:dyDescent="0.3">
      <c r="A1" s="1" t="s">
        <v>5</v>
      </c>
      <c r="B1" s="1"/>
      <c r="C1" s="2"/>
      <c r="D1" s="2"/>
      <c r="E1" s="2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1"/>
      <c r="W1" s="1"/>
      <c r="X1" s="1"/>
      <c r="Y1" s="1"/>
      <c r="Z1" s="1"/>
      <c r="AA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3">
      <c r="A2" s="3" t="s">
        <v>107</v>
      </c>
      <c r="B2" s="1"/>
      <c r="C2" s="2"/>
      <c r="D2" s="2"/>
      <c r="E2" s="1"/>
      <c r="F2" s="1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2"/>
      <c r="V2" s="1"/>
      <c r="W2" s="1"/>
      <c r="X2" s="1"/>
      <c r="Y2" s="1"/>
      <c r="Z2" s="1"/>
      <c r="AA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5" customHeight="1" x14ac:dyDescent="0.3">
      <c r="A3" s="52"/>
      <c r="B3" s="53"/>
      <c r="C3" s="54"/>
      <c r="D3" s="54"/>
      <c r="E3" s="54"/>
      <c r="F3" s="53"/>
      <c r="G3" s="54"/>
      <c r="H3" s="55"/>
      <c r="I3" s="56" t="s">
        <v>1</v>
      </c>
      <c r="J3" s="56" t="s">
        <v>1</v>
      </c>
      <c r="K3" s="56" t="s">
        <v>1</v>
      </c>
      <c r="L3" s="56" t="s">
        <v>6</v>
      </c>
      <c r="M3" s="56" t="s">
        <v>7</v>
      </c>
      <c r="N3" s="56" t="s">
        <v>6</v>
      </c>
      <c r="O3" s="56" t="s">
        <v>8</v>
      </c>
      <c r="P3" s="56" t="s">
        <v>8</v>
      </c>
      <c r="Q3" s="56" t="s">
        <v>8</v>
      </c>
      <c r="R3" s="57" t="s">
        <v>9</v>
      </c>
      <c r="S3" s="53"/>
      <c r="T3" s="54"/>
      <c r="U3" s="53"/>
      <c r="V3" s="58"/>
      <c r="W3" s="1"/>
      <c r="X3" s="1"/>
      <c r="Y3" s="1"/>
      <c r="Z3" s="1"/>
      <c r="AA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" customHeight="1" x14ac:dyDescent="0.3">
      <c r="A4" s="59"/>
      <c r="B4" s="4"/>
      <c r="C4" s="5"/>
      <c r="D4" s="5"/>
      <c r="E4" s="5"/>
      <c r="F4" s="4"/>
      <c r="G4" s="5"/>
      <c r="H4" s="6" t="s">
        <v>10</v>
      </c>
      <c r="I4" s="60" t="s">
        <v>11</v>
      </c>
      <c r="J4" s="60" t="s">
        <v>12</v>
      </c>
      <c r="K4" s="60" t="s">
        <v>13</v>
      </c>
      <c r="L4" s="60" t="s">
        <v>8</v>
      </c>
      <c r="M4" s="60" t="s">
        <v>8</v>
      </c>
      <c r="N4" s="60" t="s">
        <v>8</v>
      </c>
      <c r="O4" s="60" t="s">
        <v>12</v>
      </c>
      <c r="P4" s="60" t="s">
        <v>12</v>
      </c>
      <c r="Q4" s="60" t="s">
        <v>12</v>
      </c>
      <c r="R4" s="7" t="s">
        <v>12</v>
      </c>
      <c r="S4" s="4"/>
      <c r="T4" s="5"/>
      <c r="U4" s="4"/>
      <c r="V4" s="61"/>
      <c r="W4" s="1"/>
      <c r="X4" s="1"/>
      <c r="Y4" s="1"/>
      <c r="Z4" s="1"/>
      <c r="AA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" customHeight="1" x14ac:dyDescent="0.3">
      <c r="A5" s="59"/>
      <c r="B5" s="4"/>
      <c r="C5" s="5"/>
      <c r="D5" s="8" t="s">
        <v>14</v>
      </c>
      <c r="E5" s="8" t="s">
        <v>15</v>
      </c>
      <c r="F5" s="4"/>
      <c r="G5" s="5" t="s">
        <v>16</v>
      </c>
      <c r="H5" s="6" t="s">
        <v>16</v>
      </c>
      <c r="I5" s="60" t="s">
        <v>9</v>
      </c>
      <c r="J5" s="60" t="s">
        <v>11</v>
      </c>
      <c r="K5" s="60" t="s">
        <v>17</v>
      </c>
      <c r="L5" s="60" t="s">
        <v>18</v>
      </c>
      <c r="M5" s="60" t="s">
        <v>9</v>
      </c>
      <c r="N5" s="60" t="s">
        <v>9</v>
      </c>
      <c r="O5" s="60" t="s">
        <v>18</v>
      </c>
      <c r="P5" s="60" t="s">
        <v>9</v>
      </c>
      <c r="Q5" s="60" t="s">
        <v>2</v>
      </c>
      <c r="R5" s="7" t="s">
        <v>2</v>
      </c>
      <c r="S5" s="9" t="s">
        <v>14</v>
      </c>
      <c r="T5" s="8" t="s">
        <v>14</v>
      </c>
      <c r="U5" s="9"/>
      <c r="V5" s="62"/>
      <c r="W5" s="1"/>
      <c r="X5" s="1"/>
      <c r="Y5" s="1"/>
      <c r="Z5" s="1"/>
      <c r="AA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" customHeight="1" x14ac:dyDescent="0.3">
      <c r="A6" s="63" t="s">
        <v>19</v>
      </c>
      <c r="B6" s="10" t="s">
        <v>20</v>
      </c>
      <c r="C6" s="11" t="s">
        <v>21</v>
      </c>
      <c r="D6" s="11" t="s">
        <v>22</v>
      </c>
      <c r="E6" s="11" t="s">
        <v>22</v>
      </c>
      <c r="F6" s="10" t="s">
        <v>23</v>
      </c>
      <c r="G6" s="11" t="s">
        <v>24</v>
      </c>
      <c r="H6" s="12" t="s">
        <v>24</v>
      </c>
      <c r="I6" s="64"/>
      <c r="J6" s="64"/>
      <c r="K6" s="64"/>
      <c r="L6" s="64"/>
      <c r="M6" s="64"/>
      <c r="N6" s="64"/>
      <c r="O6" s="64"/>
      <c r="P6" s="64"/>
      <c r="Q6" s="65" t="s">
        <v>92</v>
      </c>
      <c r="R6" s="13"/>
      <c r="S6" s="10" t="s">
        <v>25</v>
      </c>
      <c r="T6" s="11" t="s">
        <v>55</v>
      </c>
      <c r="U6" s="10" t="s">
        <v>26</v>
      </c>
      <c r="V6" s="66" t="s">
        <v>27</v>
      </c>
      <c r="W6" s="3"/>
      <c r="X6" s="3"/>
      <c r="Y6" s="3"/>
      <c r="Z6" s="3"/>
      <c r="AA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" customHeight="1" thickBot="1" x14ac:dyDescent="0.35">
      <c r="A7" s="67">
        <v>1</v>
      </c>
      <c r="B7" s="21" t="s">
        <v>28</v>
      </c>
      <c r="C7" s="22">
        <v>1</v>
      </c>
      <c r="D7" s="22" t="s">
        <v>161</v>
      </c>
      <c r="E7" s="22">
        <v>2</v>
      </c>
      <c r="F7" s="21" t="s">
        <v>142</v>
      </c>
      <c r="G7" s="22" t="s">
        <v>29</v>
      </c>
      <c r="H7" s="22" t="s">
        <v>29</v>
      </c>
      <c r="I7" s="21" t="s">
        <v>11</v>
      </c>
      <c r="J7" s="21" t="s">
        <v>11</v>
      </c>
      <c r="K7" s="21" t="s">
        <v>11</v>
      </c>
      <c r="L7" s="21" t="s">
        <v>11</v>
      </c>
      <c r="M7" s="21" t="s">
        <v>11</v>
      </c>
      <c r="N7" s="21" t="s">
        <v>11</v>
      </c>
      <c r="O7" s="21" t="s">
        <v>11</v>
      </c>
      <c r="P7" s="21" t="s">
        <v>11</v>
      </c>
      <c r="Q7" s="21" t="s">
        <v>11</v>
      </c>
      <c r="R7" s="21" t="s">
        <v>11</v>
      </c>
      <c r="S7" s="21"/>
      <c r="T7" s="22"/>
      <c r="U7" s="21" t="s">
        <v>30</v>
      </c>
      <c r="V7" s="68" t="s">
        <v>0</v>
      </c>
      <c r="W7" s="1"/>
      <c r="X7" s="1"/>
      <c r="Y7" s="1"/>
      <c r="Z7" s="1"/>
      <c r="AA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5" customHeight="1" thickTop="1" x14ac:dyDescent="0.3">
      <c r="A8" s="69">
        <v>2</v>
      </c>
      <c r="B8" s="23" t="s">
        <v>31</v>
      </c>
      <c r="C8" s="24" t="s">
        <v>100</v>
      </c>
      <c r="D8" s="25">
        <v>1</v>
      </c>
      <c r="E8" s="25" t="s">
        <v>161</v>
      </c>
      <c r="F8" s="23" t="s">
        <v>32</v>
      </c>
      <c r="G8" s="26">
        <v>7</v>
      </c>
      <c r="H8" s="26">
        <f>G8</f>
        <v>7</v>
      </c>
      <c r="I8" s="27"/>
      <c r="J8" s="27"/>
      <c r="K8" s="27"/>
      <c r="L8" s="27"/>
      <c r="M8" s="27"/>
      <c r="N8" s="27"/>
      <c r="O8" s="27"/>
      <c r="P8" s="27"/>
      <c r="Q8" s="27"/>
      <c r="R8" s="27" t="s">
        <v>17</v>
      </c>
      <c r="S8" s="27" t="s">
        <v>33</v>
      </c>
      <c r="T8" s="26" t="s">
        <v>1</v>
      </c>
      <c r="U8" s="27" t="s">
        <v>34</v>
      </c>
      <c r="V8" s="70" t="s">
        <v>35</v>
      </c>
      <c r="W8" s="1">
        <f>SUM(G8)</f>
        <v>7</v>
      </c>
      <c r="X8" s="1"/>
      <c r="Y8" s="1">
        <f>SUM(G8)</f>
        <v>7</v>
      </c>
      <c r="Z8" s="1"/>
      <c r="AA8" s="1">
        <f>SUM(G8)</f>
        <v>7</v>
      </c>
      <c r="AD8" s="1"/>
      <c r="AE8" s="1"/>
      <c r="AF8" s="1"/>
      <c r="AG8" s="1"/>
      <c r="AH8" s="1"/>
      <c r="AI8" s="1"/>
      <c r="AJ8" s="1"/>
      <c r="AK8" s="1"/>
      <c r="AL8" s="1"/>
    </row>
    <row r="9" spans="1:38" ht="15" customHeight="1" x14ac:dyDescent="0.3">
      <c r="A9" s="71"/>
      <c r="B9" s="28"/>
      <c r="C9" s="29"/>
      <c r="D9" s="29"/>
      <c r="E9" s="29"/>
      <c r="F9" s="28"/>
      <c r="G9" s="30">
        <v>13</v>
      </c>
      <c r="H9" s="30">
        <f t="shared" ref="H9:H14" si="0">G9+H8</f>
        <v>20</v>
      </c>
      <c r="I9" s="31"/>
      <c r="J9" s="31"/>
      <c r="K9" s="31"/>
      <c r="L9" s="31"/>
      <c r="M9" s="31" t="s">
        <v>17</v>
      </c>
      <c r="N9" s="31"/>
      <c r="O9" s="31"/>
      <c r="P9" s="31"/>
      <c r="Q9" s="31"/>
      <c r="R9" s="31" t="s">
        <v>17</v>
      </c>
      <c r="S9" s="31"/>
      <c r="T9" s="30"/>
      <c r="U9" s="31"/>
      <c r="V9" s="72" t="s">
        <v>0</v>
      </c>
      <c r="W9" s="1"/>
      <c r="X9" s="1"/>
      <c r="Y9" s="1"/>
      <c r="Z9" s="1"/>
      <c r="AA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5" customHeight="1" x14ac:dyDescent="0.3">
      <c r="A10" s="71"/>
      <c r="B10" s="28"/>
      <c r="C10" s="29"/>
      <c r="D10" s="29"/>
      <c r="E10" s="29"/>
      <c r="F10" s="28"/>
      <c r="G10" s="30">
        <v>15</v>
      </c>
      <c r="H10" s="30">
        <f t="shared" si="0"/>
        <v>35</v>
      </c>
      <c r="I10" s="31"/>
      <c r="J10" s="31"/>
      <c r="K10" s="31"/>
      <c r="L10" s="31"/>
      <c r="M10" s="31" t="s">
        <v>11</v>
      </c>
      <c r="N10" s="31"/>
      <c r="O10" s="31"/>
      <c r="P10" s="31"/>
      <c r="Q10" s="31"/>
      <c r="R10" s="31" t="s">
        <v>17</v>
      </c>
      <c r="S10" s="31"/>
      <c r="T10" s="30"/>
      <c r="U10" s="31"/>
      <c r="V10" s="72" t="s">
        <v>0</v>
      </c>
      <c r="W10" s="1"/>
      <c r="X10" s="1"/>
      <c r="Y10" s="1"/>
      <c r="Z10" s="1"/>
      <c r="AA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" customHeight="1" x14ac:dyDescent="0.3">
      <c r="A11" s="71"/>
      <c r="B11" s="28"/>
      <c r="C11" s="29"/>
      <c r="D11" s="29"/>
      <c r="E11" s="29"/>
      <c r="F11" s="28"/>
      <c r="G11" s="30">
        <v>13</v>
      </c>
      <c r="H11" s="30">
        <f t="shared" si="0"/>
        <v>48</v>
      </c>
      <c r="I11" s="31"/>
      <c r="J11" s="31"/>
      <c r="K11" s="31"/>
      <c r="L11" s="31" t="s">
        <v>17</v>
      </c>
      <c r="M11" s="31"/>
      <c r="N11" s="31"/>
      <c r="O11" s="31"/>
      <c r="P11" s="31"/>
      <c r="Q11" s="31"/>
      <c r="R11" s="31" t="s">
        <v>17</v>
      </c>
      <c r="S11" s="31"/>
      <c r="T11" s="30"/>
      <c r="U11" s="31"/>
      <c r="V11" s="72" t="s">
        <v>0</v>
      </c>
      <c r="W11" s="1"/>
      <c r="X11" s="1"/>
      <c r="Y11" s="1"/>
      <c r="Z11" s="1"/>
      <c r="AA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" customHeight="1" x14ac:dyDescent="0.3">
      <c r="A12" s="71"/>
      <c r="B12" s="28"/>
      <c r="C12" s="29"/>
      <c r="D12" s="29"/>
      <c r="E12" s="29"/>
      <c r="F12" s="28"/>
      <c r="G12" s="30">
        <v>2</v>
      </c>
      <c r="H12" s="30">
        <f t="shared" si="0"/>
        <v>50</v>
      </c>
      <c r="I12" s="31"/>
      <c r="J12" s="31"/>
      <c r="K12" s="31"/>
      <c r="L12" s="31" t="s">
        <v>11</v>
      </c>
      <c r="M12" s="31"/>
      <c r="N12" s="31"/>
      <c r="O12" s="31"/>
      <c r="P12" s="31"/>
      <c r="Q12" s="31"/>
      <c r="R12" s="31" t="s">
        <v>17</v>
      </c>
      <c r="S12" s="31"/>
      <c r="T12" s="30"/>
      <c r="U12" s="31"/>
      <c r="V12" s="72" t="s">
        <v>0</v>
      </c>
      <c r="W12" s="1">
        <f>SUM(G9:G12)*15</f>
        <v>645</v>
      </c>
      <c r="X12" s="1"/>
      <c r="Y12" s="1">
        <f>SUM(G9:G12)*15</f>
        <v>645</v>
      </c>
      <c r="Z12" s="1"/>
      <c r="AA12" s="1">
        <f>SUM(G9:G12)*15</f>
        <v>645</v>
      </c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" customHeight="1" x14ac:dyDescent="0.3">
      <c r="A13" s="71"/>
      <c r="B13" s="28"/>
      <c r="C13" s="29"/>
      <c r="D13" s="29"/>
      <c r="E13" s="29"/>
      <c r="F13" s="28"/>
      <c r="G13" s="32">
        <v>2</v>
      </c>
      <c r="H13" s="30">
        <f t="shared" si="0"/>
        <v>52</v>
      </c>
      <c r="I13" s="33"/>
      <c r="J13" s="33"/>
      <c r="K13" s="33"/>
      <c r="L13" s="33"/>
      <c r="M13" s="33"/>
      <c r="N13" s="33"/>
      <c r="O13" s="33"/>
      <c r="P13" s="33"/>
      <c r="Q13" s="33"/>
      <c r="R13" s="33" t="s">
        <v>11</v>
      </c>
      <c r="S13" s="33"/>
      <c r="T13" s="32"/>
      <c r="U13" s="33"/>
      <c r="V13" s="73" t="s">
        <v>0</v>
      </c>
      <c r="W13" s="1">
        <f t="shared" ref="W13:W14" si="1">SUM(G13)</f>
        <v>2</v>
      </c>
      <c r="X13" s="1"/>
      <c r="Y13" s="1">
        <f t="shared" ref="Y13:Y14" si="2">SUM(G13)</f>
        <v>2</v>
      </c>
      <c r="Z13" s="1"/>
      <c r="AA13" s="1">
        <f t="shared" ref="AA13:AA14" si="3">SUM(G13)</f>
        <v>2</v>
      </c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" customHeight="1" thickBot="1" x14ac:dyDescent="0.35">
      <c r="A14" s="74"/>
      <c r="B14" s="34"/>
      <c r="C14" s="35"/>
      <c r="D14" s="35"/>
      <c r="E14" s="35"/>
      <c r="F14" s="51"/>
      <c r="G14" s="50">
        <v>10</v>
      </c>
      <c r="H14" s="50">
        <f t="shared" si="0"/>
        <v>62</v>
      </c>
      <c r="I14" s="49" t="s">
        <v>0</v>
      </c>
      <c r="J14" s="49" t="s">
        <v>0</v>
      </c>
      <c r="K14" s="49" t="s">
        <v>0</v>
      </c>
      <c r="L14" s="49" t="s">
        <v>0</v>
      </c>
      <c r="M14" s="49" t="s">
        <v>0</v>
      </c>
      <c r="N14" s="49" t="s">
        <v>0</v>
      </c>
      <c r="O14" s="49" t="s">
        <v>0</v>
      </c>
      <c r="P14" s="49" t="s">
        <v>0</v>
      </c>
      <c r="Q14" s="49" t="s">
        <v>0</v>
      </c>
      <c r="R14" s="49" t="s">
        <v>0</v>
      </c>
      <c r="S14" s="49" t="s">
        <v>131</v>
      </c>
      <c r="T14" s="50" t="s">
        <v>1</v>
      </c>
      <c r="U14" s="49" t="s">
        <v>110</v>
      </c>
      <c r="V14" s="75" t="s">
        <v>122</v>
      </c>
      <c r="W14" s="1">
        <f t="shared" si="1"/>
        <v>10</v>
      </c>
      <c r="X14" s="1"/>
      <c r="Y14" s="1">
        <f t="shared" si="2"/>
        <v>10</v>
      </c>
      <c r="Z14" s="1"/>
      <c r="AA14" s="1">
        <f t="shared" si="3"/>
        <v>10</v>
      </c>
      <c r="AD14" s="1"/>
      <c r="AE14" s="1"/>
      <c r="AF14" s="1"/>
      <c r="AG14" s="1"/>
      <c r="AH14" s="1"/>
      <c r="AI14" s="1"/>
      <c r="AJ14" s="1"/>
      <c r="AK14" s="1"/>
      <c r="AL14" s="1"/>
    </row>
    <row r="15" spans="1:38" s="19" customFormat="1" ht="15" customHeight="1" thickTop="1" x14ac:dyDescent="0.3">
      <c r="A15" s="69">
        <v>3</v>
      </c>
      <c r="B15" s="23" t="s">
        <v>36</v>
      </c>
      <c r="C15" s="25">
        <v>1</v>
      </c>
      <c r="D15" s="25">
        <v>1</v>
      </c>
      <c r="E15" s="25" t="s">
        <v>161</v>
      </c>
      <c r="F15" s="28" t="s">
        <v>65</v>
      </c>
      <c r="G15" s="26">
        <v>7</v>
      </c>
      <c r="H15" s="26">
        <f>G15</f>
        <v>7</v>
      </c>
      <c r="I15" s="27"/>
      <c r="J15" s="27"/>
      <c r="K15" s="27"/>
      <c r="L15" s="27"/>
      <c r="M15" s="27"/>
      <c r="N15" s="27"/>
      <c r="O15" s="27"/>
      <c r="P15" s="27"/>
      <c r="Q15" s="27"/>
      <c r="R15" s="27" t="s">
        <v>17</v>
      </c>
      <c r="S15" s="27" t="s">
        <v>33</v>
      </c>
      <c r="T15" s="26" t="s">
        <v>1</v>
      </c>
      <c r="U15" s="27" t="s">
        <v>34</v>
      </c>
      <c r="V15" s="70" t="s">
        <v>38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s="19" customFormat="1" ht="15" customHeight="1" x14ac:dyDescent="0.3">
      <c r="A16" s="71"/>
      <c r="B16" s="28"/>
      <c r="C16" s="29"/>
      <c r="D16" s="29"/>
      <c r="E16" s="29"/>
      <c r="F16" s="28"/>
      <c r="G16" s="30">
        <v>7</v>
      </c>
      <c r="H16" s="30">
        <f t="shared" ref="H16:H19" si="4">G16+H15</f>
        <v>14</v>
      </c>
      <c r="I16" s="31"/>
      <c r="J16" s="31"/>
      <c r="K16" s="31"/>
      <c r="L16" s="31" t="s">
        <v>17</v>
      </c>
      <c r="M16" s="31" t="s">
        <v>17</v>
      </c>
      <c r="N16" s="31"/>
      <c r="O16" s="31"/>
      <c r="P16" s="31"/>
      <c r="Q16" s="31"/>
      <c r="R16" s="31" t="s">
        <v>17</v>
      </c>
      <c r="S16" s="31" t="s">
        <v>3</v>
      </c>
      <c r="T16" s="30" t="s">
        <v>1</v>
      </c>
      <c r="U16" s="31" t="s">
        <v>91</v>
      </c>
      <c r="V16" s="72" t="s">
        <v>122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s="19" customFormat="1" ht="15" customHeight="1" x14ac:dyDescent="0.3">
      <c r="A17" s="71"/>
      <c r="B17" s="28"/>
      <c r="C17" s="29"/>
      <c r="D17" s="29"/>
      <c r="E17" s="29"/>
      <c r="F17" s="28"/>
      <c r="G17" s="30">
        <v>2</v>
      </c>
      <c r="H17" s="30">
        <f t="shared" si="4"/>
        <v>16</v>
      </c>
      <c r="I17" s="31"/>
      <c r="J17" s="31"/>
      <c r="K17" s="31"/>
      <c r="L17" s="31" t="s">
        <v>11</v>
      </c>
      <c r="M17" s="31" t="s">
        <v>11</v>
      </c>
      <c r="N17" s="31"/>
      <c r="O17" s="31"/>
      <c r="P17" s="31"/>
      <c r="Q17" s="31"/>
      <c r="R17" s="31" t="s">
        <v>17</v>
      </c>
      <c r="S17" s="31"/>
      <c r="T17" s="30"/>
      <c r="U17" s="31"/>
      <c r="V17" s="7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s="19" customFormat="1" ht="15" customHeight="1" x14ac:dyDescent="0.3">
      <c r="A18" s="71"/>
      <c r="B18" s="28"/>
      <c r="C18" s="29"/>
      <c r="D18" s="29"/>
      <c r="E18" s="29"/>
      <c r="F18" s="28"/>
      <c r="G18" s="30">
        <v>2</v>
      </c>
      <c r="H18" s="30">
        <f t="shared" si="4"/>
        <v>18</v>
      </c>
      <c r="I18" s="31"/>
      <c r="J18" s="31"/>
      <c r="K18" s="31"/>
      <c r="L18" s="31"/>
      <c r="M18" s="31"/>
      <c r="N18" s="31"/>
      <c r="O18" s="31"/>
      <c r="P18" s="31"/>
      <c r="Q18" s="31"/>
      <c r="R18" s="31" t="s">
        <v>11</v>
      </c>
      <c r="S18" s="31"/>
      <c r="T18" s="30"/>
      <c r="U18" s="31"/>
      <c r="V18" s="72" t="s"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s="19" customFormat="1" ht="15" customHeight="1" thickBot="1" x14ac:dyDescent="0.35">
      <c r="A19" s="74"/>
      <c r="B19" s="34"/>
      <c r="C19" s="35"/>
      <c r="D19" s="35"/>
      <c r="E19" s="35"/>
      <c r="F19" s="34"/>
      <c r="G19" s="22">
        <v>180</v>
      </c>
      <c r="H19" s="30">
        <f t="shared" si="4"/>
        <v>198</v>
      </c>
      <c r="I19" s="21" t="s">
        <v>0</v>
      </c>
      <c r="J19" s="21" t="s">
        <v>0</v>
      </c>
      <c r="K19" s="21" t="s">
        <v>0</v>
      </c>
      <c r="L19" s="21" t="s">
        <v>0</v>
      </c>
      <c r="M19" s="21" t="s">
        <v>0</v>
      </c>
      <c r="N19" s="21" t="s">
        <v>0</v>
      </c>
      <c r="O19" s="21" t="s">
        <v>0</v>
      </c>
      <c r="P19" s="21" t="s">
        <v>0</v>
      </c>
      <c r="Q19" s="21" t="s">
        <v>0</v>
      </c>
      <c r="R19" s="21" t="s">
        <v>0</v>
      </c>
      <c r="S19" s="31" t="s">
        <v>3</v>
      </c>
      <c r="T19" s="30" t="s">
        <v>1</v>
      </c>
      <c r="U19" s="31" t="s">
        <v>91</v>
      </c>
      <c r="V19" s="72" t="s">
        <v>122</v>
      </c>
      <c r="W19" s="1">
        <f>SUM(G15:G19)</f>
        <v>198</v>
      </c>
      <c r="X19" s="1"/>
      <c r="Y19" s="1">
        <f>SUM(G15:G19)</f>
        <v>198</v>
      </c>
      <c r="Z19" s="1"/>
      <c r="AA19" s="1">
        <f>SUM(G15:G19)</f>
        <v>198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" customHeight="1" thickTop="1" thickBot="1" x14ac:dyDescent="0.35">
      <c r="A20" s="76">
        <v>4</v>
      </c>
      <c r="B20" s="36" t="s">
        <v>116</v>
      </c>
      <c r="C20" s="37">
        <v>1</v>
      </c>
      <c r="D20" s="37" t="s">
        <v>161</v>
      </c>
      <c r="E20" s="37">
        <v>5</v>
      </c>
      <c r="F20" s="36" t="s">
        <v>159</v>
      </c>
      <c r="G20" s="37" t="s">
        <v>29</v>
      </c>
      <c r="H20" s="37" t="s">
        <v>29</v>
      </c>
      <c r="I20" s="36" t="s">
        <v>0</v>
      </c>
      <c r="J20" s="36" t="s">
        <v>0</v>
      </c>
      <c r="K20" s="36" t="s">
        <v>0</v>
      </c>
      <c r="L20" s="36" t="s">
        <v>0</v>
      </c>
      <c r="M20" s="36" t="s">
        <v>0</v>
      </c>
      <c r="N20" s="36" t="s">
        <v>0</v>
      </c>
      <c r="O20" s="36" t="s">
        <v>0</v>
      </c>
      <c r="P20" s="36" t="s">
        <v>0</v>
      </c>
      <c r="Q20" s="36" t="s">
        <v>0</v>
      </c>
      <c r="R20" s="36" t="s">
        <v>0</v>
      </c>
      <c r="S20" s="36"/>
      <c r="T20" s="37"/>
      <c r="U20" s="36" t="s">
        <v>164</v>
      </c>
      <c r="V20" s="77" t="s">
        <v>0</v>
      </c>
      <c r="W20" s="1"/>
      <c r="X20" s="1"/>
      <c r="Y20" s="1"/>
      <c r="Z20" s="1"/>
      <c r="AA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s="19" customFormat="1" ht="15" customHeight="1" thickTop="1" thickBot="1" x14ac:dyDescent="0.35">
      <c r="A21" s="76">
        <v>5</v>
      </c>
      <c r="B21" s="36" t="s">
        <v>39</v>
      </c>
      <c r="C21" s="37">
        <v>1</v>
      </c>
      <c r="D21" s="37" t="s">
        <v>161</v>
      </c>
      <c r="E21" s="37">
        <v>6</v>
      </c>
      <c r="F21" s="36" t="s">
        <v>160</v>
      </c>
      <c r="G21" s="37" t="s">
        <v>29</v>
      </c>
      <c r="H21" s="37" t="s">
        <v>29</v>
      </c>
      <c r="I21" s="36" t="s">
        <v>0</v>
      </c>
      <c r="J21" s="36" t="s">
        <v>0</v>
      </c>
      <c r="K21" s="36" t="s">
        <v>0</v>
      </c>
      <c r="L21" s="36" t="s">
        <v>0</v>
      </c>
      <c r="M21" s="36" t="s">
        <v>0</v>
      </c>
      <c r="N21" s="36" t="s">
        <v>0</v>
      </c>
      <c r="O21" s="36" t="s">
        <v>0</v>
      </c>
      <c r="P21" s="36" t="s">
        <v>0</v>
      </c>
      <c r="Q21" s="36" t="s">
        <v>0</v>
      </c>
      <c r="R21" s="36" t="s">
        <v>0</v>
      </c>
      <c r="S21" s="36"/>
      <c r="T21" s="22"/>
      <c r="U21" s="36" t="s">
        <v>30</v>
      </c>
      <c r="V21" s="77" t="s">
        <v>0</v>
      </c>
      <c r="W21" s="1"/>
      <c r="X21" s="1"/>
      <c r="Y21" s="1"/>
      <c r="Z21" s="1"/>
      <c r="AA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" customHeight="1" thickTop="1" x14ac:dyDescent="0.3">
      <c r="A22" s="69">
        <v>6</v>
      </c>
      <c r="B22" s="23" t="s">
        <v>70</v>
      </c>
      <c r="C22" s="25" t="s">
        <v>100</v>
      </c>
      <c r="D22" s="25">
        <v>6</v>
      </c>
      <c r="E22" s="25" t="s">
        <v>0</v>
      </c>
      <c r="F22" s="23" t="s">
        <v>71</v>
      </c>
      <c r="G22" s="26">
        <v>7</v>
      </c>
      <c r="H22" s="26">
        <f>G22</f>
        <v>7</v>
      </c>
      <c r="I22" s="27"/>
      <c r="J22" s="27"/>
      <c r="K22" s="27" t="s">
        <v>17</v>
      </c>
      <c r="L22" s="27" t="s">
        <v>17</v>
      </c>
      <c r="M22" s="27"/>
      <c r="N22" s="27"/>
      <c r="O22" s="27"/>
      <c r="P22" s="27"/>
      <c r="Q22" s="27"/>
      <c r="R22" s="27" t="s">
        <v>17</v>
      </c>
      <c r="S22" s="27" t="s">
        <v>33</v>
      </c>
      <c r="T22" s="30" t="s">
        <v>1</v>
      </c>
      <c r="U22" s="27" t="s">
        <v>34</v>
      </c>
      <c r="V22" s="70" t="s">
        <v>35</v>
      </c>
      <c r="W22" s="1"/>
      <c r="X22" s="1"/>
      <c r="Y22" s="1"/>
      <c r="Z22" s="1"/>
      <c r="AA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" customHeight="1" x14ac:dyDescent="0.3">
      <c r="A23" s="71"/>
      <c r="B23" s="28"/>
      <c r="C23" s="29"/>
      <c r="D23" s="29"/>
      <c r="E23" s="29"/>
      <c r="F23" s="28"/>
      <c r="G23" s="30">
        <v>180</v>
      </c>
      <c r="H23" s="30">
        <f t="shared" ref="H23:H29" si="5">G23+H22</f>
        <v>187</v>
      </c>
      <c r="I23" s="31"/>
      <c r="J23" s="31"/>
      <c r="K23" s="31" t="s">
        <v>17</v>
      </c>
      <c r="L23" s="31" t="s">
        <v>17</v>
      </c>
      <c r="M23" s="31" t="s">
        <v>17</v>
      </c>
      <c r="N23" s="31"/>
      <c r="O23" s="31"/>
      <c r="P23" s="31"/>
      <c r="Q23" s="31"/>
      <c r="R23" s="31" t="s">
        <v>17</v>
      </c>
      <c r="S23" s="31" t="s">
        <v>3</v>
      </c>
      <c r="T23" s="30" t="s">
        <v>1</v>
      </c>
      <c r="U23" s="31" t="s">
        <v>101</v>
      </c>
      <c r="V23" s="72" t="s">
        <v>122</v>
      </c>
      <c r="W23" s="1"/>
      <c r="X23" s="1"/>
      <c r="Y23" s="1"/>
      <c r="Z23" s="1"/>
      <c r="AA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" customHeight="1" x14ac:dyDescent="0.3">
      <c r="A24" s="71"/>
      <c r="B24" s="28"/>
      <c r="C24" s="29"/>
      <c r="D24" s="29"/>
      <c r="E24" s="29"/>
      <c r="F24" s="28"/>
      <c r="G24" s="30">
        <v>2</v>
      </c>
      <c r="H24" s="30">
        <f t="shared" si="5"/>
        <v>189</v>
      </c>
      <c r="I24" s="31"/>
      <c r="J24" s="31"/>
      <c r="K24" s="31" t="s">
        <v>17</v>
      </c>
      <c r="L24" s="31" t="s">
        <v>17</v>
      </c>
      <c r="M24" s="31" t="s">
        <v>11</v>
      </c>
      <c r="N24" s="31"/>
      <c r="O24" s="31"/>
      <c r="P24" s="31"/>
      <c r="Q24" s="31"/>
      <c r="R24" s="31" t="s">
        <v>17</v>
      </c>
      <c r="S24" s="31"/>
      <c r="T24" s="30"/>
      <c r="U24" s="31"/>
      <c r="V24" s="72" t="s">
        <v>0</v>
      </c>
      <c r="W24" s="1"/>
      <c r="X24" s="1"/>
      <c r="Y24" s="1"/>
      <c r="Z24" s="1"/>
      <c r="AA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" customHeight="1" x14ac:dyDescent="0.3">
      <c r="A25" s="71"/>
      <c r="B25" s="28"/>
      <c r="C25" s="29"/>
      <c r="D25" s="29"/>
      <c r="E25" s="29"/>
      <c r="F25" s="28"/>
      <c r="G25" s="30">
        <v>2</v>
      </c>
      <c r="H25" s="30">
        <f t="shared" si="5"/>
        <v>191</v>
      </c>
      <c r="I25" s="31"/>
      <c r="J25" s="31"/>
      <c r="K25" s="31" t="s">
        <v>17</v>
      </c>
      <c r="L25" s="31" t="s">
        <v>17</v>
      </c>
      <c r="M25" s="31"/>
      <c r="N25" s="31"/>
      <c r="O25" s="31"/>
      <c r="P25" s="31"/>
      <c r="Q25" s="31"/>
      <c r="R25" s="31" t="s">
        <v>11</v>
      </c>
      <c r="S25" s="31"/>
      <c r="T25" s="30"/>
      <c r="U25" s="31"/>
      <c r="V25" s="72" t="s">
        <v>0</v>
      </c>
      <c r="W25" s="1"/>
      <c r="X25" s="1"/>
      <c r="Y25" s="1"/>
      <c r="Z25" s="1"/>
      <c r="AA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" customHeight="1" x14ac:dyDescent="0.3">
      <c r="A26" s="71"/>
      <c r="B26" s="28"/>
      <c r="C26" s="29"/>
      <c r="D26" s="29"/>
      <c r="E26" s="29"/>
      <c r="F26" s="28"/>
      <c r="G26" s="30">
        <v>2</v>
      </c>
      <c r="H26" s="30">
        <f t="shared" si="5"/>
        <v>193</v>
      </c>
      <c r="I26" s="31"/>
      <c r="J26" s="31"/>
      <c r="K26" s="31" t="s">
        <v>17</v>
      </c>
      <c r="L26" s="31" t="s">
        <v>17</v>
      </c>
      <c r="M26" s="31"/>
      <c r="N26" s="31"/>
      <c r="O26" s="31"/>
      <c r="P26" s="31" t="s">
        <v>17</v>
      </c>
      <c r="Q26" s="31" t="s">
        <v>17</v>
      </c>
      <c r="R26" s="31"/>
      <c r="S26" s="31"/>
      <c r="T26" s="30"/>
      <c r="U26" s="31"/>
      <c r="V26" s="72" t="s">
        <v>0</v>
      </c>
      <c r="W26" s="1"/>
      <c r="X26" s="1"/>
      <c r="Y26" s="1"/>
      <c r="Z26" s="1"/>
      <c r="AA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" customHeight="1" x14ac:dyDescent="0.3">
      <c r="A27" s="71"/>
      <c r="B27" s="28"/>
      <c r="C27" s="29"/>
      <c r="D27" s="29"/>
      <c r="E27" s="29"/>
      <c r="F27" s="28"/>
      <c r="G27" s="30">
        <v>180</v>
      </c>
      <c r="H27" s="30">
        <f t="shared" si="5"/>
        <v>373</v>
      </c>
      <c r="I27" s="31"/>
      <c r="J27" s="31"/>
      <c r="K27" s="31" t="s">
        <v>17</v>
      </c>
      <c r="L27" s="31" t="s">
        <v>17</v>
      </c>
      <c r="M27" s="31"/>
      <c r="N27" s="31"/>
      <c r="O27" s="31" t="s">
        <v>17</v>
      </c>
      <c r="P27" s="31" t="s">
        <v>17</v>
      </c>
      <c r="Q27" s="31" t="s">
        <v>17</v>
      </c>
      <c r="R27" s="31"/>
      <c r="S27" s="31" t="s">
        <v>118</v>
      </c>
      <c r="T27" s="30" t="s">
        <v>43</v>
      </c>
      <c r="U27" s="31" t="s">
        <v>119</v>
      </c>
      <c r="V27" s="72" t="s">
        <v>120</v>
      </c>
      <c r="W27" s="1"/>
      <c r="X27" s="1"/>
      <c r="Y27" s="1"/>
      <c r="Z27" s="1"/>
      <c r="AA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" customHeight="1" x14ac:dyDescent="0.3">
      <c r="A28" s="71"/>
      <c r="B28" s="28"/>
      <c r="C28" s="29"/>
      <c r="D28" s="29"/>
      <c r="E28" s="29"/>
      <c r="F28" s="28"/>
      <c r="G28" s="30">
        <v>2</v>
      </c>
      <c r="H28" s="30">
        <f t="shared" si="5"/>
        <v>375</v>
      </c>
      <c r="I28" s="31"/>
      <c r="J28" s="31"/>
      <c r="K28" s="31" t="s">
        <v>17</v>
      </c>
      <c r="L28" s="31" t="s">
        <v>17</v>
      </c>
      <c r="M28" s="31"/>
      <c r="N28" s="31"/>
      <c r="O28" s="31" t="s">
        <v>99</v>
      </c>
      <c r="P28" s="31" t="s">
        <v>17</v>
      </c>
      <c r="Q28" s="31" t="s">
        <v>17</v>
      </c>
      <c r="R28" s="31"/>
      <c r="S28" s="31"/>
      <c r="T28" s="30"/>
      <c r="U28" s="31"/>
      <c r="V28" s="72"/>
      <c r="W28" s="1"/>
      <c r="X28" s="1"/>
      <c r="Y28" s="1"/>
      <c r="Z28" s="1"/>
      <c r="AA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" customHeight="1" thickBot="1" x14ac:dyDescent="0.35">
      <c r="A29" s="71"/>
      <c r="B29" s="28"/>
      <c r="C29" s="29"/>
      <c r="D29" s="29"/>
      <c r="E29" s="29"/>
      <c r="F29" s="51"/>
      <c r="G29" s="50">
        <v>2</v>
      </c>
      <c r="H29" s="50">
        <f t="shared" si="5"/>
        <v>377</v>
      </c>
      <c r="I29" s="49"/>
      <c r="J29" s="49"/>
      <c r="K29" s="49" t="s">
        <v>17</v>
      </c>
      <c r="L29" s="49" t="s">
        <v>17</v>
      </c>
      <c r="M29" s="49"/>
      <c r="N29" s="49"/>
      <c r="O29" s="49"/>
      <c r="P29" s="49" t="s">
        <v>99</v>
      </c>
      <c r="Q29" s="49" t="s">
        <v>99</v>
      </c>
      <c r="R29" s="49"/>
      <c r="S29" s="49"/>
      <c r="T29" s="50"/>
      <c r="U29" s="93"/>
      <c r="V29" s="72"/>
      <c r="W29" s="1">
        <f>SUM($G$22:$G$29)*2</f>
        <v>754</v>
      </c>
      <c r="X29" s="1"/>
      <c r="Y29" s="1">
        <f>SUM($G$22:$G$29)*10</f>
        <v>3770</v>
      </c>
      <c r="Z29" s="1"/>
      <c r="AA29" s="1">
        <f>SUM($G$22:$G$29)*60</f>
        <v>22620</v>
      </c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" customHeight="1" thickTop="1" x14ac:dyDescent="0.3">
      <c r="A30" s="69">
        <v>7</v>
      </c>
      <c r="B30" s="23" t="s">
        <v>162</v>
      </c>
      <c r="C30" s="25">
        <v>1</v>
      </c>
      <c r="D30" s="25" t="s">
        <v>161</v>
      </c>
      <c r="E30" s="25" t="s">
        <v>0</v>
      </c>
      <c r="F30" s="28" t="s">
        <v>81</v>
      </c>
      <c r="G30" s="26">
        <v>180</v>
      </c>
      <c r="H30" s="26">
        <f>G30</f>
        <v>180</v>
      </c>
      <c r="I30" s="27"/>
      <c r="J30" s="27"/>
      <c r="K30" s="27" t="s">
        <v>17</v>
      </c>
      <c r="L30" s="27" t="s">
        <v>17</v>
      </c>
      <c r="M30" s="27" t="s">
        <v>17</v>
      </c>
      <c r="N30" s="27"/>
      <c r="O30" s="27"/>
      <c r="P30" s="27"/>
      <c r="Q30" s="27"/>
      <c r="R30" s="27"/>
      <c r="S30" s="27"/>
      <c r="T30" s="26"/>
      <c r="U30" s="27"/>
      <c r="V30" s="78" t="s">
        <v>0</v>
      </c>
      <c r="W30" s="1"/>
      <c r="X30" s="1"/>
      <c r="Y30" s="1"/>
      <c r="Z30" s="1"/>
      <c r="AA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" customHeight="1" thickBot="1" x14ac:dyDescent="0.35">
      <c r="A31" s="74"/>
      <c r="B31" s="34"/>
      <c r="C31" s="35"/>
      <c r="D31" s="35"/>
      <c r="E31" s="35"/>
      <c r="F31" s="34"/>
      <c r="G31" s="22">
        <v>2</v>
      </c>
      <c r="H31" s="22">
        <f>G31+H30</f>
        <v>182</v>
      </c>
      <c r="I31" s="21"/>
      <c r="J31" s="21"/>
      <c r="K31" s="21" t="s">
        <v>11</v>
      </c>
      <c r="L31" s="21" t="s">
        <v>11</v>
      </c>
      <c r="M31" s="21" t="s">
        <v>11</v>
      </c>
      <c r="N31" s="21"/>
      <c r="O31" s="21"/>
      <c r="P31" s="21"/>
      <c r="Q31" s="21"/>
      <c r="R31" s="21"/>
      <c r="S31" s="21"/>
      <c r="T31" s="35"/>
      <c r="U31" s="21"/>
      <c r="V31" s="68" t="s">
        <v>0</v>
      </c>
      <c r="W31" s="1">
        <f>SUM($G$30:$G$31)</f>
        <v>182</v>
      </c>
      <c r="X31" s="1"/>
      <c r="Y31" s="1">
        <f t="shared" ref="Y31" si="6">SUM($G$30:$G$31)</f>
        <v>182</v>
      </c>
      <c r="Z31" s="1"/>
      <c r="AA31" s="1">
        <f>SUM($G$30:$G$31)</f>
        <v>182</v>
      </c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" customHeight="1" thickTop="1" x14ac:dyDescent="0.3">
      <c r="A32" s="69">
        <v>8</v>
      </c>
      <c r="B32" s="23" t="s">
        <v>84</v>
      </c>
      <c r="C32" s="25">
        <v>1</v>
      </c>
      <c r="D32" s="25" t="s">
        <v>161</v>
      </c>
      <c r="E32" s="25">
        <v>9</v>
      </c>
      <c r="F32" s="23" t="s">
        <v>163</v>
      </c>
      <c r="G32" s="25" t="s">
        <v>29</v>
      </c>
      <c r="H32" s="25" t="s">
        <v>29</v>
      </c>
      <c r="I32" s="23" t="s">
        <v>0</v>
      </c>
      <c r="J32" s="23" t="s">
        <v>0</v>
      </c>
      <c r="K32" s="23" t="s">
        <v>17</v>
      </c>
      <c r="L32" s="23" t="s">
        <v>17</v>
      </c>
      <c r="M32" s="23" t="s">
        <v>0</v>
      </c>
      <c r="N32" s="23" t="s">
        <v>0</v>
      </c>
      <c r="O32" s="23" t="s">
        <v>17</v>
      </c>
      <c r="P32" s="23" t="s">
        <v>17</v>
      </c>
      <c r="Q32" s="23" t="s">
        <v>0</v>
      </c>
      <c r="R32" s="23" t="s">
        <v>0</v>
      </c>
      <c r="S32" s="23"/>
      <c r="T32" s="26"/>
      <c r="U32" s="23" t="s">
        <v>164</v>
      </c>
      <c r="V32" s="81" t="s">
        <v>0</v>
      </c>
      <c r="W32" s="1"/>
      <c r="X32" s="1"/>
      <c r="Y32" s="1"/>
      <c r="Z32" s="1"/>
      <c r="AA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" customHeight="1" thickBot="1" x14ac:dyDescent="0.35">
      <c r="A33" s="74"/>
      <c r="B33" s="34"/>
      <c r="C33" s="35"/>
      <c r="D33" s="35"/>
      <c r="E33" s="35"/>
      <c r="F33" s="34"/>
      <c r="G33" s="22">
        <v>2</v>
      </c>
      <c r="H33" s="22">
        <v>2</v>
      </c>
      <c r="I33" s="21"/>
      <c r="J33" s="21"/>
      <c r="K33" s="21" t="s">
        <v>11</v>
      </c>
      <c r="L33" s="21" t="s">
        <v>11</v>
      </c>
      <c r="M33" s="21"/>
      <c r="N33" s="21"/>
      <c r="O33" s="21" t="s">
        <v>11</v>
      </c>
      <c r="P33" s="21" t="s">
        <v>11</v>
      </c>
      <c r="Q33" s="21"/>
      <c r="R33" s="21"/>
      <c r="S33" s="21"/>
      <c r="T33" s="35"/>
      <c r="U33" s="21"/>
      <c r="V33" s="68" t="s">
        <v>0</v>
      </c>
      <c r="W33" s="1">
        <f>SUM($G$33)</f>
        <v>2</v>
      </c>
      <c r="X33" s="1"/>
      <c r="Y33" s="1">
        <f>SUM($G$33)</f>
        <v>2</v>
      </c>
      <c r="Z33" s="1"/>
      <c r="AA33" s="1">
        <f>SUM($G$33)</f>
        <v>2</v>
      </c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" customHeight="1" thickTop="1" x14ac:dyDescent="0.3">
      <c r="A34" s="69">
        <v>9</v>
      </c>
      <c r="B34" s="23" t="s">
        <v>46</v>
      </c>
      <c r="C34" s="25">
        <v>1</v>
      </c>
      <c r="D34" s="25">
        <v>9</v>
      </c>
      <c r="E34" s="25" t="s">
        <v>0</v>
      </c>
      <c r="F34" s="23" t="s">
        <v>86</v>
      </c>
      <c r="G34" s="26">
        <v>7</v>
      </c>
      <c r="H34" s="26">
        <f>G34</f>
        <v>7</v>
      </c>
      <c r="I34" s="27"/>
      <c r="J34" s="27"/>
      <c r="K34" s="27"/>
      <c r="L34" s="27"/>
      <c r="M34" s="27"/>
      <c r="N34" s="27"/>
      <c r="O34" s="27"/>
      <c r="P34" s="27"/>
      <c r="Q34" s="27"/>
      <c r="R34" s="27" t="s">
        <v>17</v>
      </c>
      <c r="S34" s="27" t="s">
        <v>33</v>
      </c>
      <c r="T34" s="30" t="s">
        <v>1</v>
      </c>
      <c r="U34" s="27" t="s">
        <v>34</v>
      </c>
      <c r="V34" s="70" t="s">
        <v>35</v>
      </c>
      <c r="W34" s="1"/>
      <c r="X34" s="1"/>
      <c r="Y34" s="1"/>
      <c r="Z34" s="1"/>
      <c r="AA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" customHeight="1" x14ac:dyDescent="0.3">
      <c r="A35" s="71"/>
      <c r="B35" s="28"/>
      <c r="C35" s="29"/>
      <c r="D35" s="29"/>
      <c r="E35" s="29"/>
      <c r="F35" s="28"/>
      <c r="G35" s="30">
        <v>180</v>
      </c>
      <c r="H35" s="30">
        <f t="shared" ref="H35:H43" si="7">G35+H34</f>
        <v>187</v>
      </c>
      <c r="I35" s="31"/>
      <c r="J35" s="31"/>
      <c r="K35" s="31" t="s">
        <v>17</v>
      </c>
      <c r="L35" s="31" t="s">
        <v>17</v>
      </c>
      <c r="M35" s="31" t="s">
        <v>17</v>
      </c>
      <c r="N35" s="31"/>
      <c r="O35" s="31"/>
      <c r="P35" s="31"/>
      <c r="Q35" s="31"/>
      <c r="R35" s="31" t="s">
        <v>17</v>
      </c>
      <c r="S35" s="31" t="s">
        <v>3</v>
      </c>
      <c r="T35" s="30" t="s">
        <v>1</v>
      </c>
      <c r="U35" s="31" t="s">
        <v>101</v>
      </c>
      <c r="V35" s="72" t="s">
        <v>122</v>
      </c>
      <c r="W35" s="1"/>
      <c r="X35" s="1"/>
      <c r="Y35" s="1"/>
      <c r="Z35" s="1"/>
      <c r="AA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" customHeight="1" x14ac:dyDescent="0.3">
      <c r="A36" s="71"/>
      <c r="B36" s="28"/>
      <c r="C36" s="29"/>
      <c r="D36" s="29"/>
      <c r="E36" s="29"/>
      <c r="F36" s="28"/>
      <c r="G36" s="30">
        <v>2</v>
      </c>
      <c r="H36" s="30">
        <f t="shared" si="7"/>
        <v>189</v>
      </c>
      <c r="I36" s="31"/>
      <c r="J36" s="31"/>
      <c r="K36" s="31" t="s">
        <v>17</v>
      </c>
      <c r="L36" s="31" t="s">
        <v>17</v>
      </c>
      <c r="M36" s="31" t="s">
        <v>11</v>
      </c>
      <c r="N36" s="31"/>
      <c r="O36" s="31"/>
      <c r="P36" s="31"/>
      <c r="Q36" s="31"/>
      <c r="R36" s="31" t="s">
        <v>17</v>
      </c>
      <c r="S36" s="31"/>
      <c r="T36" s="30"/>
      <c r="U36" s="31"/>
      <c r="V36" s="72" t="s">
        <v>0</v>
      </c>
      <c r="W36" s="1"/>
      <c r="X36" s="1"/>
      <c r="Y36" s="1"/>
      <c r="Z36" s="1"/>
      <c r="AA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" customHeight="1" x14ac:dyDescent="0.3">
      <c r="A37" s="71"/>
      <c r="B37" s="28"/>
      <c r="C37" s="29"/>
      <c r="D37" s="29"/>
      <c r="E37" s="29"/>
      <c r="F37" s="28"/>
      <c r="G37" s="30">
        <v>2</v>
      </c>
      <c r="H37" s="30">
        <f t="shared" si="7"/>
        <v>191</v>
      </c>
      <c r="I37" s="31"/>
      <c r="J37" s="31"/>
      <c r="K37" s="31" t="s">
        <v>17</v>
      </c>
      <c r="L37" s="31" t="s">
        <v>17</v>
      </c>
      <c r="M37" s="31"/>
      <c r="N37" s="31"/>
      <c r="O37" s="31"/>
      <c r="P37" s="31"/>
      <c r="Q37" s="31"/>
      <c r="R37" s="31" t="s">
        <v>11</v>
      </c>
      <c r="S37" s="31"/>
      <c r="T37" s="30"/>
      <c r="U37" s="31"/>
      <c r="V37" s="72" t="s">
        <v>0</v>
      </c>
      <c r="W37" s="1"/>
      <c r="X37" s="1"/>
      <c r="Y37" s="1"/>
      <c r="Z37" s="1"/>
      <c r="AA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" customHeight="1" x14ac:dyDescent="0.3">
      <c r="A38" s="71"/>
      <c r="B38" s="28"/>
      <c r="C38" s="29"/>
      <c r="D38" s="29"/>
      <c r="E38" s="29"/>
      <c r="F38" s="28"/>
      <c r="G38" s="30">
        <v>2</v>
      </c>
      <c r="H38" s="30">
        <f t="shared" si="7"/>
        <v>193</v>
      </c>
      <c r="I38" s="31"/>
      <c r="J38" s="31"/>
      <c r="K38" s="31" t="s">
        <v>17</v>
      </c>
      <c r="L38" s="31" t="s">
        <v>17</v>
      </c>
      <c r="M38" s="31"/>
      <c r="N38" s="31"/>
      <c r="O38" s="31"/>
      <c r="P38" s="31" t="s">
        <v>17</v>
      </c>
      <c r="Q38" s="31" t="s">
        <v>17</v>
      </c>
      <c r="R38" s="31"/>
      <c r="S38" s="31"/>
      <c r="T38" s="30"/>
      <c r="U38" s="31"/>
      <c r="V38" s="72" t="s">
        <v>0</v>
      </c>
      <c r="W38" s="1"/>
      <c r="X38" s="1"/>
      <c r="Y38" s="1"/>
      <c r="Z38" s="1"/>
      <c r="AA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" customHeight="1" x14ac:dyDescent="0.3">
      <c r="A39" s="71"/>
      <c r="B39" s="28"/>
      <c r="C39" s="29"/>
      <c r="D39" s="29"/>
      <c r="E39" s="29"/>
      <c r="F39" s="28"/>
      <c r="G39" s="30">
        <v>180</v>
      </c>
      <c r="H39" s="30">
        <f t="shared" si="7"/>
        <v>373</v>
      </c>
      <c r="I39" s="31"/>
      <c r="J39" s="31"/>
      <c r="K39" s="31" t="s">
        <v>17</v>
      </c>
      <c r="L39" s="31" t="s">
        <v>17</v>
      </c>
      <c r="M39" s="31"/>
      <c r="N39" s="31"/>
      <c r="O39" s="31" t="s">
        <v>17</v>
      </c>
      <c r="P39" s="31" t="s">
        <v>17</v>
      </c>
      <c r="Q39" s="31" t="s">
        <v>17</v>
      </c>
      <c r="R39" s="31"/>
      <c r="S39" s="31" t="s">
        <v>118</v>
      </c>
      <c r="T39" s="30" t="s">
        <v>43</v>
      </c>
      <c r="U39" s="31" t="s">
        <v>119</v>
      </c>
      <c r="V39" s="72" t="s">
        <v>120</v>
      </c>
      <c r="W39" s="1"/>
      <c r="X39" s="1"/>
      <c r="Y39" s="1"/>
      <c r="Z39" s="1"/>
      <c r="AA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s="19" customFormat="1" ht="15" customHeight="1" x14ac:dyDescent="0.3">
      <c r="A40" s="71"/>
      <c r="B40" s="28"/>
      <c r="C40" s="29"/>
      <c r="D40" s="29"/>
      <c r="E40" s="29"/>
      <c r="F40" s="28"/>
      <c r="G40" s="30">
        <v>2</v>
      </c>
      <c r="H40" s="30">
        <f>G40+H38</f>
        <v>195</v>
      </c>
      <c r="I40" s="31"/>
      <c r="J40" s="31"/>
      <c r="K40" s="31" t="s">
        <v>17</v>
      </c>
      <c r="L40" s="31" t="s">
        <v>17</v>
      </c>
      <c r="M40" s="31"/>
      <c r="N40" s="31"/>
      <c r="O40" s="31" t="s">
        <v>11</v>
      </c>
      <c r="P40" s="31" t="s">
        <v>17</v>
      </c>
      <c r="Q40" s="31" t="s">
        <v>17</v>
      </c>
      <c r="R40" s="31"/>
      <c r="S40" s="31"/>
      <c r="T40" s="30"/>
      <c r="U40" s="27"/>
      <c r="V40" s="72" t="s">
        <v>0</v>
      </c>
      <c r="W40" s="1"/>
      <c r="X40" s="1"/>
      <c r="Y40" s="1"/>
      <c r="Z40" s="1"/>
      <c r="AA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" customHeight="1" x14ac:dyDescent="0.3">
      <c r="A41" s="71"/>
      <c r="B41" s="28"/>
      <c r="C41" s="29"/>
      <c r="D41" s="29"/>
      <c r="E41" s="29"/>
      <c r="F41" s="28"/>
      <c r="G41" s="30">
        <v>2</v>
      </c>
      <c r="H41" s="30">
        <f>G41+H39</f>
        <v>375</v>
      </c>
      <c r="I41" s="31"/>
      <c r="J41" s="31"/>
      <c r="K41" s="31" t="s">
        <v>17</v>
      </c>
      <c r="L41" s="31" t="s">
        <v>17</v>
      </c>
      <c r="M41" s="31"/>
      <c r="N41" s="31"/>
      <c r="O41" s="31"/>
      <c r="P41" s="31" t="s">
        <v>11</v>
      </c>
      <c r="Q41" s="31" t="s">
        <v>11</v>
      </c>
      <c r="R41" s="31"/>
      <c r="S41" s="31"/>
      <c r="T41" s="30"/>
      <c r="U41" s="27"/>
      <c r="V41" s="72" t="s">
        <v>0</v>
      </c>
      <c r="W41" s="1"/>
      <c r="X41" s="1"/>
      <c r="Y41" s="1"/>
      <c r="Z41" s="1"/>
      <c r="AA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" customHeight="1" x14ac:dyDescent="0.3">
      <c r="A42" s="71"/>
      <c r="B42" s="28"/>
      <c r="C42" s="29"/>
      <c r="D42" s="29"/>
      <c r="E42" s="29"/>
      <c r="F42" s="28" t="s">
        <v>126</v>
      </c>
      <c r="G42" s="30">
        <v>180</v>
      </c>
      <c r="H42" s="30">
        <f t="shared" si="7"/>
        <v>555</v>
      </c>
      <c r="I42" s="31" t="s">
        <v>0</v>
      </c>
      <c r="J42" s="31" t="s">
        <v>0</v>
      </c>
      <c r="K42" s="31" t="s">
        <v>17</v>
      </c>
      <c r="L42" s="31" t="s">
        <v>17</v>
      </c>
      <c r="M42" s="31" t="s">
        <v>0</v>
      </c>
      <c r="N42" s="31" t="s">
        <v>0</v>
      </c>
      <c r="O42" s="31" t="s">
        <v>0</v>
      </c>
      <c r="P42" s="31" t="s">
        <v>0</v>
      </c>
      <c r="Q42" s="31" t="s">
        <v>0</v>
      </c>
      <c r="R42" s="31" t="s">
        <v>0</v>
      </c>
      <c r="S42" s="31" t="s">
        <v>3</v>
      </c>
      <c r="T42" s="30" t="s">
        <v>43</v>
      </c>
      <c r="U42" s="31" t="s">
        <v>124</v>
      </c>
      <c r="V42" s="72" t="s">
        <v>121</v>
      </c>
      <c r="W42" s="1">
        <f>SUM($G$34:$G$42)*2</f>
        <v>1114</v>
      </c>
      <c r="X42" s="1"/>
      <c r="Y42" s="1">
        <f>SUM($G$34:$G$42)*10</f>
        <v>5570</v>
      </c>
      <c r="Z42" s="1"/>
      <c r="AA42" s="1">
        <f>SUM($G$34:$G$42)*60</f>
        <v>33420</v>
      </c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" customHeight="1" thickBot="1" x14ac:dyDescent="0.35">
      <c r="A43" s="74"/>
      <c r="B43" s="34"/>
      <c r="C43" s="35"/>
      <c r="D43" s="35"/>
      <c r="E43" s="35"/>
      <c r="F43" s="28" t="s">
        <v>127</v>
      </c>
      <c r="G43" s="22">
        <v>60</v>
      </c>
      <c r="H43" s="22">
        <f t="shared" si="7"/>
        <v>615</v>
      </c>
      <c r="I43" s="21" t="s">
        <v>0</v>
      </c>
      <c r="J43" s="21" t="s">
        <v>0</v>
      </c>
      <c r="K43" s="21" t="s">
        <v>17</v>
      </c>
      <c r="L43" s="21" t="s">
        <v>17</v>
      </c>
      <c r="M43" s="21" t="s">
        <v>0</v>
      </c>
      <c r="N43" s="21" t="s">
        <v>0</v>
      </c>
      <c r="O43" s="21" t="s">
        <v>0</v>
      </c>
      <c r="P43" s="21" t="s">
        <v>0</v>
      </c>
      <c r="Q43" s="21" t="s">
        <v>0</v>
      </c>
      <c r="R43" s="21" t="s">
        <v>0</v>
      </c>
      <c r="S43" s="21" t="s">
        <v>3</v>
      </c>
      <c r="T43" s="22" t="s">
        <v>43</v>
      </c>
      <c r="U43" s="31" t="s">
        <v>125</v>
      </c>
      <c r="V43" s="72" t="s">
        <v>123</v>
      </c>
      <c r="W43" s="1">
        <v>600</v>
      </c>
      <c r="X43" s="1"/>
      <c r="Y43" s="1">
        <v>600</v>
      </c>
      <c r="Z43" s="1"/>
      <c r="AA43" s="1">
        <v>600</v>
      </c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" customHeight="1" thickTop="1" thickBot="1" x14ac:dyDescent="0.35">
      <c r="A44" s="76">
        <v>10</v>
      </c>
      <c r="B44" s="36" t="s">
        <v>51</v>
      </c>
      <c r="C44" s="37">
        <v>1</v>
      </c>
      <c r="D44" s="37" t="s">
        <v>161</v>
      </c>
      <c r="E44" s="37">
        <v>11</v>
      </c>
      <c r="F44" s="36" t="s">
        <v>87</v>
      </c>
      <c r="G44" s="37" t="s">
        <v>29</v>
      </c>
      <c r="H44" s="37" t="s">
        <v>29</v>
      </c>
      <c r="I44" s="36"/>
      <c r="J44" s="36"/>
      <c r="K44" s="36" t="s">
        <v>17</v>
      </c>
      <c r="L44" s="36" t="s">
        <v>17</v>
      </c>
      <c r="M44" s="36"/>
      <c r="N44" s="36"/>
      <c r="O44" s="36" t="s">
        <v>17</v>
      </c>
      <c r="P44" s="36" t="s">
        <v>17</v>
      </c>
      <c r="Q44" s="36" t="s">
        <v>17</v>
      </c>
      <c r="R44" s="36"/>
      <c r="S44" s="36"/>
      <c r="T44" s="37"/>
      <c r="U44" s="36"/>
      <c r="V44" s="77" t="s">
        <v>0</v>
      </c>
      <c r="W44" s="1"/>
      <c r="X44" s="1"/>
      <c r="Y44" s="1"/>
      <c r="Z44" s="1"/>
      <c r="AA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" customHeight="1" thickTop="1" thickBot="1" x14ac:dyDescent="0.35">
      <c r="A45" s="74">
        <v>11</v>
      </c>
      <c r="B45" s="36" t="s">
        <v>51</v>
      </c>
      <c r="C45" s="35">
        <v>1</v>
      </c>
      <c r="D45" s="35" t="s">
        <v>161</v>
      </c>
      <c r="E45" s="35" t="s">
        <v>0</v>
      </c>
      <c r="F45" s="34" t="s">
        <v>57</v>
      </c>
      <c r="G45" s="35">
        <v>2</v>
      </c>
      <c r="H45" s="35">
        <f>G45</f>
        <v>2</v>
      </c>
      <c r="I45" s="34"/>
      <c r="J45" s="34"/>
      <c r="K45" s="36" t="s">
        <v>17</v>
      </c>
      <c r="L45" s="34" t="s">
        <v>17</v>
      </c>
      <c r="M45" s="34"/>
      <c r="N45" s="34"/>
      <c r="O45" s="34" t="s">
        <v>11</v>
      </c>
      <c r="P45" s="34" t="s">
        <v>11</v>
      </c>
      <c r="Q45" s="34" t="s">
        <v>11</v>
      </c>
      <c r="R45" s="34"/>
      <c r="S45" s="34"/>
      <c r="T45" s="35"/>
      <c r="U45" s="34"/>
      <c r="V45" s="79" t="s">
        <v>0</v>
      </c>
      <c r="W45" s="1">
        <v>2</v>
      </c>
      <c r="X45" s="1"/>
      <c r="Y45" s="1">
        <v>2</v>
      </c>
      <c r="Z45" s="1"/>
      <c r="AA45" s="1">
        <v>2</v>
      </c>
      <c r="AD45" s="1"/>
      <c r="AE45" s="1"/>
      <c r="AF45" s="1"/>
      <c r="AG45" s="1"/>
      <c r="AH45" s="1"/>
      <c r="AI45" s="1"/>
      <c r="AJ45" s="1"/>
      <c r="AK45" s="1"/>
      <c r="AL45" s="1"/>
    </row>
    <row r="46" spans="1:38" s="19" customFormat="1" ht="15" customHeight="1" thickTop="1" x14ac:dyDescent="0.3">
      <c r="A46" s="69">
        <v>12</v>
      </c>
      <c r="B46" s="23" t="s">
        <v>53</v>
      </c>
      <c r="C46" s="24" t="s">
        <v>100</v>
      </c>
      <c r="D46" s="25">
        <v>12</v>
      </c>
      <c r="E46" s="25" t="s">
        <v>0</v>
      </c>
      <c r="F46" s="40" t="s">
        <v>96</v>
      </c>
      <c r="G46" s="26">
        <v>7</v>
      </c>
      <c r="H46" s="26">
        <v>7</v>
      </c>
      <c r="I46" s="27"/>
      <c r="J46" s="27"/>
      <c r="K46" s="31" t="s">
        <v>17</v>
      </c>
      <c r="L46" s="31" t="s">
        <v>17</v>
      </c>
      <c r="M46" s="27"/>
      <c r="N46" s="27"/>
      <c r="O46" s="27"/>
      <c r="P46" s="27"/>
      <c r="Q46" s="27"/>
      <c r="R46" s="27" t="s">
        <v>17</v>
      </c>
      <c r="S46" s="41" t="s">
        <v>33</v>
      </c>
      <c r="T46" s="42" t="s">
        <v>93</v>
      </c>
      <c r="U46" s="43" t="s">
        <v>94</v>
      </c>
      <c r="V46" s="41" t="s">
        <v>35</v>
      </c>
      <c r="W46" s="1"/>
      <c r="X46" s="1"/>
      <c r="Y46" s="1"/>
      <c r="Z46" s="1"/>
      <c r="AA46" s="1"/>
      <c r="AB46" s="1"/>
      <c r="AC46" s="1"/>
      <c r="AD46" s="1"/>
      <c r="AE46" s="1"/>
    </row>
    <row r="47" spans="1:38" s="19" customFormat="1" ht="15" customHeight="1" x14ac:dyDescent="0.3">
      <c r="A47" s="71"/>
      <c r="B47" s="28"/>
      <c r="C47" s="29"/>
      <c r="D47" s="29"/>
      <c r="E47" s="29"/>
      <c r="F47" s="44" t="s">
        <v>97</v>
      </c>
      <c r="G47" s="26">
        <v>180</v>
      </c>
      <c r="H47" s="26">
        <f t="shared" ref="H47:H49" si="8">G47+H46</f>
        <v>187</v>
      </c>
      <c r="I47" s="27"/>
      <c r="J47" s="27"/>
      <c r="K47" s="31" t="s">
        <v>17</v>
      </c>
      <c r="L47" s="31" t="s">
        <v>17</v>
      </c>
      <c r="M47" s="27" t="s">
        <v>17</v>
      </c>
      <c r="N47" s="27"/>
      <c r="O47" s="27"/>
      <c r="P47" s="27"/>
      <c r="Q47" s="27"/>
      <c r="R47" s="27" t="s">
        <v>17</v>
      </c>
      <c r="S47" s="27"/>
      <c r="T47" s="26"/>
      <c r="U47" s="31"/>
      <c r="V47" s="72"/>
      <c r="W47" s="1"/>
      <c r="X47" s="1"/>
      <c r="Y47" s="1"/>
      <c r="Z47" s="1"/>
      <c r="AA47" s="1"/>
      <c r="AB47" s="1"/>
      <c r="AC47" s="1"/>
      <c r="AD47" s="1"/>
      <c r="AE47" s="1"/>
    </row>
    <row r="48" spans="1:38" s="19" customFormat="1" ht="15" customHeight="1" x14ac:dyDescent="0.3">
      <c r="A48" s="71"/>
      <c r="B48" s="28"/>
      <c r="C48" s="29"/>
      <c r="D48" s="29"/>
      <c r="E48" s="29"/>
      <c r="F48" s="28"/>
      <c r="G48" s="26">
        <v>2</v>
      </c>
      <c r="H48" s="26">
        <f t="shared" si="8"/>
        <v>189</v>
      </c>
      <c r="I48" s="27"/>
      <c r="J48" s="27"/>
      <c r="K48" s="31" t="s">
        <v>17</v>
      </c>
      <c r="L48" s="31" t="s">
        <v>17</v>
      </c>
      <c r="M48" s="27" t="s">
        <v>99</v>
      </c>
      <c r="N48" s="27"/>
      <c r="O48" s="27"/>
      <c r="P48" s="27"/>
      <c r="Q48" s="27"/>
      <c r="R48" s="27" t="s">
        <v>17</v>
      </c>
      <c r="S48" s="27"/>
      <c r="T48" s="26"/>
      <c r="U48" s="27"/>
      <c r="V48" s="70" t="s">
        <v>0</v>
      </c>
      <c r="W48" s="1"/>
      <c r="X48" s="1"/>
      <c r="Y48" s="1"/>
      <c r="Z48" s="1"/>
      <c r="AA48" s="1"/>
      <c r="AB48" s="1"/>
      <c r="AC48" s="1"/>
      <c r="AD48" s="1"/>
      <c r="AE48" s="1"/>
    </row>
    <row r="49" spans="1:38" s="19" customFormat="1" ht="15" customHeight="1" x14ac:dyDescent="0.3">
      <c r="A49" s="71"/>
      <c r="B49" s="28"/>
      <c r="C49" s="29"/>
      <c r="D49" s="29"/>
      <c r="E49" s="29"/>
      <c r="F49" s="45"/>
      <c r="G49" s="46">
        <v>2</v>
      </c>
      <c r="H49" s="26">
        <f t="shared" si="8"/>
        <v>191</v>
      </c>
      <c r="I49" s="45"/>
      <c r="J49" s="45"/>
      <c r="K49" s="31" t="s">
        <v>17</v>
      </c>
      <c r="L49" s="31" t="s">
        <v>17</v>
      </c>
      <c r="M49" s="45"/>
      <c r="N49" s="45"/>
      <c r="O49" s="45"/>
      <c r="P49" s="45"/>
      <c r="Q49" s="45"/>
      <c r="R49" s="45" t="s">
        <v>99</v>
      </c>
      <c r="S49" s="45"/>
      <c r="T49" s="46"/>
      <c r="U49" s="45"/>
      <c r="V49" s="80" t="s">
        <v>0</v>
      </c>
      <c r="W49" s="1">
        <f>SUM($G$46:$G$49)</f>
        <v>191</v>
      </c>
      <c r="X49" s="1"/>
      <c r="Y49" s="1">
        <f>SUM($G$46:$G$49)</f>
        <v>191</v>
      </c>
      <c r="Z49" s="1"/>
      <c r="AA49" s="1">
        <f>SUM($G$46:$G$49)</f>
        <v>191</v>
      </c>
      <c r="AB49" s="1"/>
      <c r="AC49" s="1"/>
      <c r="AD49" s="1"/>
      <c r="AE49" s="1"/>
    </row>
    <row r="50" spans="1:38" ht="15" customHeight="1" x14ac:dyDescent="0.3">
      <c r="A50" s="71"/>
      <c r="B50" s="28"/>
      <c r="C50" s="29"/>
      <c r="D50" s="29"/>
      <c r="E50" s="29"/>
      <c r="F50" s="28" t="s">
        <v>153</v>
      </c>
      <c r="G50" s="26">
        <v>7</v>
      </c>
      <c r="H50" s="26">
        <v>7</v>
      </c>
      <c r="I50" s="27"/>
      <c r="J50" s="27"/>
      <c r="K50" s="31" t="s">
        <v>17</v>
      </c>
      <c r="L50" s="27" t="s">
        <v>17</v>
      </c>
      <c r="M50" s="27"/>
      <c r="N50" s="27"/>
      <c r="O50" s="27"/>
      <c r="P50" s="27"/>
      <c r="Q50" s="27"/>
      <c r="R50" s="27" t="s">
        <v>17</v>
      </c>
      <c r="S50" s="27" t="s">
        <v>33</v>
      </c>
      <c r="T50" s="26" t="s">
        <v>1</v>
      </c>
      <c r="U50" s="27" t="s">
        <v>59</v>
      </c>
      <c r="V50" s="70" t="s">
        <v>35</v>
      </c>
      <c r="W50" s="1"/>
      <c r="X50" s="1"/>
      <c r="Y50" s="1"/>
      <c r="Z50" s="1"/>
      <c r="AA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" customHeight="1" x14ac:dyDescent="0.3">
      <c r="A51" s="71"/>
      <c r="B51" s="28"/>
      <c r="C51" s="29"/>
      <c r="D51" s="29"/>
      <c r="E51" s="29"/>
      <c r="F51" s="28" t="s">
        <v>166</v>
      </c>
      <c r="G51" s="26">
        <v>180</v>
      </c>
      <c r="H51" s="26">
        <f t="shared" ref="H51:H57" si="9">G51+H50</f>
        <v>187</v>
      </c>
      <c r="I51" s="27"/>
      <c r="J51" s="27"/>
      <c r="K51" s="31" t="s">
        <v>17</v>
      </c>
      <c r="L51" s="27" t="s">
        <v>17</v>
      </c>
      <c r="M51" s="27" t="s">
        <v>149</v>
      </c>
      <c r="N51" s="27"/>
      <c r="O51" s="27"/>
      <c r="P51" s="27"/>
      <c r="Q51" s="27"/>
      <c r="R51" s="27" t="s">
        <v>17</v>
      </c>
      <c r="S51" s="27" t="s">
        <v>3</v>
      </c>
      <c r="T51" s="26" t="s">
        <v>1</v>
      </c>
      <c r="U51" s="31" t="s">
        <v>91</v>
      </c>
      <c r="V51" s="72" t="s">
        <v>122</v>
      </c>
      <c r="W51" s="1"/>
      <c r="X51" s="1"/>
      <c r="Y51" s="1"/>
      <c r="Z51" s="1"/>
      <c r="AA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" customHeight="1" x14ac:dyDescent="0.3">
      <c r="A52" s="71"/>
      <c r="B52" s="28" t="s">
        <v>61</v>
      </c>
      <c r="C52" s="29"/>
      <c r="D52" s="29"/>
      <c r="E52" s="29"/>
      <c r="F52" s="28"/>
      <c r="G52" s="26">
        <v>2</v>
      </c>
      <c r="H52" s="26">
        <f t="shared" si="9"/>
        <v>189</v>
      </c>
      <c r="I52" s="27"/>
      <c r="J52" s="27"/>
      <c r="K52" s="31" t="s">
        <v>17</v>
      </c>
      <c r="L52" s="27" t="s">
        <v>17</v>
      </c>
      <c r="M52" s="27" t="s">
        <v>11</v>
      </c>
      <c r="N52" s="27"/>
      <c r="O52" s="27"/>
      <c r="P52" s="27"/>
      <c r="Q52" s="27"/>
      <c r="R52" s="27" t="s">
        <v>17</v>
      </c>
      <c r="S52" s="27"/>
      <c r="T52" s="26"/>
      <c r="U52" s="27"/>
      <c r="V52" s="70" t="s">
        <v>0</v>
      </c>
      <c r="W52" s="1"/>
      <c r="X52" s="1"/>
      <c r="Y52" s="1"/>
      <c r="Z52" s="1"/>
      <c r="AA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" customHeight="1" x14ac:dyDescent="0.3">
      <c r="A53" s="71"/>
      <c r="B53" s="28" t="s">
        <v>150</v>
      </c>
      <c r="C53" s="29"/>
      <c r="D53" s="29"/>
      <c r="E53" s="29"/>
      <c r="F53" s="28"/>
      <c r="G53" s="26">
        <v>2</v>
      </c>
      <c r="H53" s="26">
        <f t="shared" si="9"/>
        <v>191</v>
      </c>
      <c r="I53" s="27"/>
      <c r="J53" s="27"/>
      <c r="K53" s="31" t="s">
        <v>17</v>
      </c>
      <c r="L53" s="27" t="s">
        <v>17</v>
      </c>
      <c r="M53" s="27"/>
      <c r="N53" s="27"/>
      <c r="O53" s="27"/>
      <c r="P53" s="27"/>
      <c r="Q53" s="27"/>
      <c r="R53" s="27" t="s">
        <v>11</v>
      </c>
      <c r="S53" s="27"/>
      <c r="T53" s="26"/>
      <c r="U53" s="27"/>
      <c r="V53" s="70" t="s">
        <v>0</v>
      </c>
      <c r="W53" s="1"/>
      <c r="X53" s="1"/>
      <c r="Y53" s="1"/>
      <c r="Z53" s="1"/>
      <c r="AA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" customHeight="1" x14ac:dyDescent="0.3">
      <c r="A54" s="71"/>
      <c r="B54" s="28" t="s">
        <v>165</v>
      </c>
      <c r="C54" s="29"/>
      <c r="D54" s="29"/>
      <c r="E54" s="29"/>
      <c r="F54" s="28" t="s">
        <v>63</v>
      </c>
      <c r="G54" s="30">
        <v>2</v>
      </c>
      <c r="H54" s="30">
        <f t="shared" si="9"/>
        <v>193</v>
      </c>
      <c r="I54" s="31"/>
      <c r="J54" s="31"/>
      <c r="K54" s="31" t="s">
        <v>17</v>
      </c>
      <c r="L54" s="31" t="s">
        <v>17</v>
      </c>
      <c r="M54" s="31"/>
      <c r="N54" s="31"/>
      <c r="O54" s="31"/>
      <c r="P54" s="31" t="s">
        <v>17</v>
      </c>
      <c r="Q54" s="31" t="s">
        <v>17</v>
      </c>
      <c r="R54" s="31"/>
      <c r="S54" s="31"/>
      <c r="T54" s="30"/>
      <c r="U54" s="31"/>
      <c r="V54" s="72" t="s">
        <v>0</v>
      </c>
      <c r="W54" s="1"/>
      <c r="X54" s="1"/>
      <c r="Y54" s="1"/>
      <c r="Z54" s="1"/>
      <c r="AA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" customHeight="1" x14ac:dyDescent="0.3">
      <c r="A55" s="71"/>
      <c r="B55" s="28" t="s">
        <v>64</v>
      </c>
      <c r="C55" s="29"/>
      <c r="D55" s="29"/>
      <c r="E55" s="29"/>
      <c r="F55" s="28"/>
      <c r="G55" s="30">
        <v>180</v>
      </c>
      <c r="H55" s="30">
        <f t="shared" si="9"/>
        <v>373</v>
      </c>
      <c r="I55" s="31"/>
      <c r="J55" s="31"/>
      <c r="K55" s="31" t="s">
        <v>17</v>
      </c>
      <c r="L55" s="31" t="s">
        <v>17</v>
      </c>
      <c r="M55" s="31"/>
      <c r="N55" s="31"/>
      <c r="O55" s="31" t="s">
        <v>17</v>
      </c>
      <c r="P55" s="31" t="s">
        <v>17</v>
      </c>
      <c r="Q55" s="31" t="s">
        <v>17</v>
      </c>
      <c r="R55" s="31"/>
      <c r="S55" s="31" t="s">
        <v>118</v>
      </c>
      <c r="T55" s="30" t="s">
        <v>43</v>
      </c>
      <c r="U55" s="31" t="s">
        <v>119</v>
      </c>
      <c r="V55" s="72" t="s">
        <v>120</v>
      </c>
      <c r="W55" s="1"/>
      <c r="X55" s="1"/>
      <c r="Y55" s="1"/>
      <c r="Z55" s="1"/>
      <c r="AA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" customHeight="1" x14ac:dyDescent="0.3">
      <c r="A56" s="71"/>
      <c r="B56" s="28" t="s">
        <v>151</v>
      </c>
      <c r="C56" s="29"/>
      <c r="D56" s="29"/>
      <c r="E56" s="29"/>
      <c r="F56" s="28"/>
      <c r="G56" s="30">
        <v>2</v>
      </c>
      <c r="H56" s="30">
        <f t="shared" si="9"/>
        <v>375</v>
      </c>
      <c r="I56" s="31"/>
      <c r="J56" s="31"/>
      <c r="K56" s="31" t="s">
        <v>17</v>
      </c>
      <c r="L56" s="31" t="s">
        <v>17</v>
      </c>
      <c r="M56" s="31"/>
      <c r="N56" s="31"/>
      <c r="O56" s="31" t="s">
        <v>98</v>
      </c>
      <c r="P56" s="31" t="s">
        <v>17</v>
      </c>
      <c r="Q56" s="31" t="s">
        <v>17</v>
      </c>
      <c r="R56" s="31"/>
      <c r="S56" s="31"/>
      <c r="T56" s="30"/>
      <c r="U56" s="33"/>
      <c r="V56" s="72"/>
      <c r="W56" s="1"/>
      <c r="X56" s="1"/>
      <c r="Y56" s="1"/>
      <c r="Z56" s="1"/>
      <c r="AA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" customHeight="1" thickBot="1" x14ac:dyDescent="0.35">
      <c r="A57" s="94"/>
      <c r="B57" s="51"/>
      <c r="C57" s="83"/>
      <c r="D57" s="83"/>
      <c r="E57" s="83"/>
      <c r="F57" s="51"/>
      <c r="G57" s="50">
        <v>2</v>
      </c>
      <c r="H57" s="30">
        <f t="shared" si="9"/>
        <v>377</v>
      </c>
      <c r="I57" s="31"/>
      <c r="J57" s="31"/>
      <c r="K57" s="31" t="s">
        <v>17</v>
      </c>
      <c r="L57" s="31" t="s">
        <v>149</v>
      </c>
      <c r="M57" s="31"/>
      <c r="N57" s="31"/>
      <c r="O57" s="31"/>
      <c r="P57" s="31" t="s">
        <v>98</v>
      </c>
      <c r="Q57" s="31" t="s">
        <v>98</v>
      </c>
      <c r="R57" s="31"/>
      <c r="S57" s="31"/>
      <c r="T57" s="30"/>
      <c r="U57" s="20"/>
      <c r="V57" s="72"/>
      <c r="W57" s="1">
        <f>SUM($G$50:$G$57)*2</f>
        <v>754</v>
      </c>
      <c r="X57" s="1"/>
      <c r="Y57" s="1">
        <f>SUM($G$50:$G$57)*10</f>
        <v>3770</v>
      </c>
      <c r="Z57" s="1"/>
      <c r="AA57" s="1">
        <f>SUM($G$50:$G$57)*60</f>
        <v>22620</v>
      </c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" customHeight="1" thickTop="1" x14ac:dyDescent="0.3">
      <c r="A58" s="71">
        <v>13</v>
      </c>
      <c r="B58" s="28" t="s">
        <v>102</v>
      </c>
      <c r="C58" s="29">
        <v>1</v>
      </c>
      <c r="D58" s="29">
        <v>13</v>
      </c>
      <c r="E58" s="29" t="s">
        <v>0</v>
      </c>
      <c r="F58" s="28" t="s">
        <v>58</v>
      </c>
      <c r="G58" s="26">
        <v>2</v>
      </c>
      <c r="H58" s="38">
        <f>G58</f>
        <v>2</v>
      </c>
      <c r="I58" s="39"/>
      <c r="J58" s="39"/>
      <c r="K58" s="39" t="s">
        <v>17</v>
      </c>
      <c r="L58" s="39" t="s">
        <v>17</v>
      </c>
      <c r="M58" s="39"/>
      <c r="N58" s="39"/>
      <c r="O58" s="39"/>
      <c r="P58" s="39"/>
      <c r="Q58" s="39"/>
      <c r="R58" s="39" t="s">
        <v>17</v>
      </c>
      <c r="S58" s="39"/>
      <c r="T58" s="38"/>
      <c r="U58" s="39"/>
      <c r="V58" s="78" t="s">
        <v>0</v>
      </c>
      <c r="W58" s="1"/>
      <c r="X58" s="1"/>
      <c r="Y58" s="1"/>
      <c r="Z58" s="1"/>
      <c r="AA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" customHeight="1" x14ac:dyDescent="0.3">
      <c r="A59" s="71"/>
      <c r="B59" s="28"/>
      <c r="C59" s="29"/>
      <c r="D59" s="29"/>
      <c r="E59" s="29"/>
      <c r="F59" s="28"/>
      <c r="G59" s="30">
        <v>240</v>
      </c>
      <c r="H59" s="30">
        <f t="shared" ref="H59:H61" si="10">G59+H58</f>
        <v>242</v>
      </c>
      <c r="I59" s="31"/>
      <c r="J59" s="31"/>
      <c r="K59" s="31" t="s">
        <v>17</v>
      </c>
      <c r="L59" s="31" t="s">
        <v>17</v>
      </c>
      <c r="M59" s="31" t="s">
        <v>17</v>
      </c>
      <c r="N59" s="31"/>
      <c r="O59" s="31"/>
      <c r="P59" s="31"/>
      <c r="Q59" s="31"/>
      <c r="R59" s="31" t="s">
        <v>17</v>
      </c>
      <c r="S59" s="31"/>
      <c r="T59" s="30"/>
      <c r="U59" s="31"/>
      <c r="V59" s="72"/>
      <c r="W59" s="1"/>
      <c r="X59" s="1"/>
      <c r="Y59" s="1"/>
      <c r="Z59" s="1"/>
      <c r="AA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" customHeight="1" x14ac:dyDescent="0.3">
      <c r="A60" s="71"/>
      <c r="B60" s="28"/>
      <c r="C60" s="29"/>
      <c r="D60" s="29"/>
      <c r="E60" s="29"/>
      <c r="F60" s="28"/>
      <c r="G60" s="30">
        <v>2</v>
      </c>
      <c r="H60" s="30">
        <f t="shared" si="10"/>
        <v>244</v>
      </c>
      <c r="I60" s="31"/>
      <c r="J60" s="31"/>
      <c r="K60" s="31" t="s">
        <v>17</v>
      </c>
      <c r="L60" s="31" t="s">
        <v>17</v>
      </c>
      <c r="M60" s="31" t="s">
        <v>11</v>
      </c>
      <c r="N60" s="31"/>
      <c r="O60" s="31"/>
      <c r="P60" s="31"/>
      <c r="Q60" s="31"/>
      <c r="R60" s="31" t="s">
        <v>17</v>
      </c>
      <c r="S60" s="90" t="s">
        <v>131</v>
      </c>
      <c r="T60" s="91" t="s">
        <v>1</v>
      </c>
      <c r="U60" s="90" t="s">
        <v>155</v>
      </c>
      <c r="V60" s="92" t="s">
        <v>122</v>
      </c>
      <c r="W60" s="1"/>
      <c r="X60" s="1"/>
      <c r="Y60" s="1"/>
      <c r="Z60" s="1"/>
      <c r="AA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" customHeight="1" thickBot="1" x14ac:dyDescent="0.35">
      <c r="A61" s="74"/>
      <c r="B61" s="34"/>
      <c r="C61" s="35"/>
      <c r="D61" s="35"/>
      <c r="E61" s="35"/>
      <c r="F61" s="34" t="s">
        <v>60</v>
      </c>
      <c r="G61" s="35">
        <v>2</v>
      </c>
      <c r="H61" s="22">
        <f t="shared" si="10"/>
        <v>246</v>
      </c>
      <c r="I61" s="34"/>
      <c r="J61" s="34"/>
      <c r="K61" s="34" t="s">
        <v>11</v>
      </c>
      <c r="L61" s="34" t="s">
        <v>11</v>
      </c>
      <c r="M61" s="34"/>
      <c r="N61" s="34"/>
      <c r="O61" s="34"/>
      <c r="P61" s="34"/>
      <c r="Q61" s="34"/>
      <c r="R61" s="34" t="s">
        <v>11</v>
      </c>
      <c r="S61" s="34"/>
      <c r="T61" s="35"/>
      <c r="U61" s="34"/>
      <c r="V61" s="79" t="s">
        <v>0</v>
      </c>
      <c r="W61" s="1">
        <f>SUM($G$58:$G$61)</f>
        <v>246</v>
      </c>
      <c r="X61" s="1"/>
      <c r="Y61" s="1">
        <f>SUM($G$58:$G$61)</f>
        <v>246</v>
      </c>
      <c r="Z61" s="1"/>
      <c r="AA61" s="1">
        <f>SUM($G$58:$G$61)</f>
        <v>246</v>
      </c>
      <c r="AD61" s="1"/>
      <c r="AE61" s="1"/>
      <c r="AF61" s="1"/>
      <c r="AG61" s="1"/>
      <c r="AH61" s="1"/>
      <c r="AI61" s="1"/>
      <c r="AJ61" s="1"/>
      <c r="AK61" s="1"/>
      <c r="AL61" s="1"/>
    </row>
    <row r="62" spans="1:38" s="19" customFormat="1" ht="15" customHeight="1" thickTop="1" thickBot="1" x14ac:dyDescent="0.35">
      <c r="A62" s="76">
        <v>14</v>
      </c>
      <c r="B62" s="36" t="s">
        <v>62</v>
      </c>
      <c r="C62" s="37">
        <v>1</v>
      </c>
      <c r="D62" s="25" t="s">
        <v>129</v>
      </c>
      <c r="E62" s="37">
        <v>15</v>
      </c>
      <c r="F62" s="36" t="s">
        <v>130</v>
      </c>
      <c r="G62" s="47" t="s">
        <v>29</v>
      </c>
      <c r="H62" s="47" t="s">
        <v>29</v>
      </c>
      <c r="I62" s="48" t="s">
        <v>0</v>
      </c>
      <c r="J62" s="36" t="s">
        <v>0</v>
      </c>
      <c r="K62" s="36" t="s">
        <v>0</v>
      </c>
      <c r="L62" s="36" t="s">
        <v>0</v>
      </c>
      <c r="M62" s="36" t="s">
        <v>0</v>
      </c>
      <c r="N62" s="36" t="s">
        <v>0</v>
      </c>
      <c r="O62" s="36" t="s">
        <v>0</v>
      </c>
      <c r="P62" s="36" t="s">
        <v>0</v>
      </c>
      <c r="Q62" s="36" t="s">
        <v>0</v>
      </c>
      <c r="R62" s="36" t="s">
        <v>0</v>
      </c>
      <c r="S62" s="36"/>
      <c r="T62" s="37"/>
      <c r="U62" s="36" t="s">
        <v>158</v>
      </c>
      <c r="V62" s="77" t="s">
        <v>0</v>
      </c>
      <c r="W62" s="1"/>
      <c r="X62" s="1"/>
      <c r="Y62" s="1"/>
      <c r="Z62" s="1"/>
      <c r="AA62" s="1"/>
      <c r="AD62" s="1"/>
      <c r="AE62" s="1"/>
    </row>
    <row r="63" spans="1:38" s="19" customFormat="1" ht="15" customHeight="1" thickTop="1" x14ac:dyDescent="0.3">
      <c r="A63" s="69">
        <v>15</v>
      </c>
      <c r="B63" s="23" t="s">
        <v>62</v>
      </c>
      <c r="C63" s="25">
        <v>1</v>
      </c>
      <c r="D63" s="25">
        <v>15</v>
      </c>
      <c r="E63" s="25" t="s">
        <v>0</v>
      </c>
      <c r="F63" s="23" t="s">
        <v>133</v>
      </c>
      <c r="G63" s="26">
        <v>7</v>
      </c>
      <c r="H63" s="26">
        <f>G63</f>
        <v>7</v>
      </c>
      <c r="I63" s="27"/>
      <c r="J63" s="27"/>
      <c r="K63" s="27"/>
      <c r="L63" s="27"/>
      <c r="M63" s="27"/>
      <c r="N63" s="27"/>
      <c r="O63" s="27"/>
      <c r="P63" s="27"/>
      <c r="Q63" s="27"/>
      <c r="R63" s="31" t="s">
        <v>17</v>
      </c>
      <c r="S63" s="27" t="s">
        <v>33</v>
      </c>
      <c r="T63" s="26" t="s">
        <v>1</v>
      </c>
      <c r="U63" s="27" t="s">
        <v>34</v>
      </c>
      <c r="V63" s="70" t="s">
        <v>35</v>
      </c>
      <c r="W63" s="1"/>
      <c r="X63" s="1"/>
      <c r="Y63" s="1"/>
      <c r="Z63" s="1"/>
      <c r="AA63" s="1"/>
      <c r="AB63" s="1"/>
      <c r="AC63" s="1"/>
      <c r="AD63" s="1"/>
      <c r="AE63" s="1"/>
    </row>
    <row r="64" spans="1:38" s="19" customFormat="1" ht="15" customHeight="1" x14ac:dyDescent="0.3">
      <c r="A64" s="71"/>
      <c r="B64" s="28"/>
      <c r="C64" s="29"/>
      <c r="D64" s="29"/>
      <c r="E64" s="29"/>
      <c r="F64" s="28"/>
      <c r="G64" s="26">
        <v>3</v>
      </c>
      <c r="H64" s="26">
        <f t="shared" ref="H64:H72" si="11">G64+H63</f>
        <v>10</v>
      </c>
      <c r="I64" s="27"/>
      <c r="J64" s="27"/>
      <c r="K64" s="27"/>
      <c r="L64" s="27"/>
      <c r="M64" s="31" t="s">
        <v>17</v>
      </c>
      <c r="N64" s="31" t="s">
        <v>17</v>
      </c>
      <c r="O64" s="27"/>
      <c r="P64" s="27"/>
      <c r="Q64" s="27"/>
      <c r="R64" s="31" t="s">
        <v>17</v>
      </c>
      <c r="S64" s="27"/>
      <c r="T64" s="26"/>
      <c r="U64" s="27"/>
      <c r="V64" s="70" t="s">
        <v>0</v>
      </c>
      <c r="W64" s="1"/>
      <c r="X64" s="1"/>
      <c r="Y64" s="1"/>
      <c r="Z64" s="1"/>
      <c r="AA64" s="1"/>
      <c r="AB64" s="1"/>
      <c r="AC64" s="1"/>
      <c r="AD64" s="1"/>
      <c r="AE64" s="1"/>
    </row>
    <row r="65" spans="1:31" s="19" customFormat="1" ht="15" customHeight="1" x14ac:dyDescent="0.3">
      <c r="A65" s="71"/>
      <c r="B65" s="28"/>
      <c r="C65" s="29"/>
      <c r="D65" s="29"/>
      <c r="E65" s="29"/>
      <c r="F65" s="28"/>
      <c r="G65" s="30">
        <v>7</v>
      </c>
      <c r="H65" s="26">
        <f t="shared" si="11"/>
        <v>17</v>
      </c>
      <c r="I65" s="31"/>
      <c r="J65" s="31"/>
      <c r="K65" s="31"/>
      <c r="L65" s="31" t="s">
        <v>17</v>
      </c>
      <c r="M65" s="31" t="s">
        <v>17</v>
      </c>
      <c r="N65" s="31" t="s">
        <v>17</v>
      </c>
      <c r="O65" s="31"/>
      <c r="P65" s="31"/>
      <c r="Q65" s="31"/>
      <c r="R65" s="31" t="s">
        <v>17</v>
      </c>
      <c r="S65" s="27" t="s">
        <v>3</v>
      </c>
      <c r="T65" s="26" t="s">
        <v>1</v>
      </c>
      <c r="U65" s="31" t="s">
        <v>91</v>
      </c>
      <c r="V65" s="72" t="s">
        <v>122</v>
      </c>
      <c r="W65" s="1"/>
      <c r="X65" s="1"/>
      <c r="Y65" s="1"/>
      <c r="Z65" s="1"/>
      <c r="AA65" s="1"/>
      <c r="AB65" s="1"/>
      <c r="AC65" s="1"/>
      <c r="AD65" s="1"/>
      <c r="AE65" s="1"/>
    </row>
    <row r="66" spans="1:31" s="19" customFormat="1" ht="15" customHeight="1" x14ac:dyDescent="0.3">
      <c r="A66" s="71"/>
      <c r="B66" s="28"/>
      <c r="C66" s="29"/>
      <c r="D66" s="29"/>
      <c r="E66" s="29"/>
      <c r="F66" s="28"/>
      <c r="G66" s="30">
        <v>3</v>
      </c>
      <c r="H66" s="26">
        <f t="shared" si="11"/>
        <v>20</v>
      </c>
      <c r="I66" s="31"/>
      <c r="J66" s="31"/>
      <c r="K66" s="31"/>
      <c r="L66" s="31" t="s">
        <v>89</v>
      </c>
      <c r="M66" s="31" t="s">
        <v>90</v>
      </c>
      <c r="N66" s="31" t="s">
        <v>17</v>
      </c>
      <c r="O66" s="31"/>
      <c r="P66" s="31"/>
      <c r="Q66" s="31"/>
      <c r="R66" s="31" t="s">
        <v>90</v>
      </c>
      <c r="S66" s="27"/>
      <c r="T66" s="26"/>
      <c r="U66" s="31"/>
      <c r="V66" s="72"/>
      <c r="W66" s="1"/>
      <c r="X66" s="1"/>
      <c r="Y66" s="1"/>
      <c r="Z66" s="1"/>
      <c r="AA66" s="1"/>
      <c r="AB66" s="1"/>
      <c r="AC66" s="1"/>
      <c r="AD66" s="1"/>
      <c r="AE66" s="1"/>
    </row>
    <row r="67" spans="1:31" s="19" customFormat="1" ht="15" customHeight="1" x14ac:dyDescent="0.3">
      <c r="A67" s="71"/>
      <c r="B67" s="28"/>
      <c r="C67" s="29"/>
      <c r="D67" s="29"/>
      <c r="E67" s="29"/>
      <c r="F67" s="28"/>
      <c r="G67" s="30">
        <v>3</v>
      </c>
      <c r="H67" s="26">
        <f t="shared" si="11"/>
        <v>23</v>
      </c>
      <c r="I67" s="31"/>
      <c r="J67" s="31"/>
      <c r="K67" s="31"/>
      <c r="L67" s="31"/>
      <c r="M67" s="31" t="s">
        <v>89</v>
      </c>
      <c r="N67" s="31" t="s">
        <v>89</v>
      </c>
      <c r="O67" s="31"/>
      <c r="P67" s="31"/>
      <c r="Q67" s="31"/>
      <c r="R67" s="31" t="s">
        <v>90</v>
      </c>
      <c r="S67" s="31"/>
      <c r="T67" s="30"/>
      <c r="U67" s="27"/>
      <c r="V67" s="72" t="s">
        <v>0</v>
      </c>
      <c r="W67" s="1"/>
      <c r="X67" s="1"/>
      <c r="Y67" s="1"/>
      <c r="Z67" s="1"/>
      <c r="AA67" s="1"/>
      <c r="AB67" s="1"/>
      <c r="AC67" s="1"/>
      <c r="AD67" s="1"/>
      <c r="AE67" s="1"/>
    </row>
    <row r="68" spans="1:31" s="19" customFormat="1" ht="15" customHeight="1" x14ac:dyDescent="0.3">
      <c r="A68" s="71"/>
      <c r="B68" s="28"/>
      <c r="C68" s="29"/>
      <c r="D68" s="29"/>
      <c r="E68" s="29"/>
      <c r="F68" s="28"/>
      <c r="G68" s="30">
        <v>3</v>
      </c>
      <c r="H68" s="26">
        <f t="shared" si="11"/>
        <v>26</v>
      </c>
      <c r="I68" s="31"/>
      <c r="J68" s="31"/>
      <c r="K68" s="31"/>
      <c r="L68" s="31"/>
      <c r="M68" s="31"/>
      <c r="N68" s="31"/>
      <c r="O68" s="31"/>
      <c r="P68" s="31"/>
      <c r="Q68" s="31"/>
      <c r="R68" s="31" t="s">
        <v>89</v>
      </c>
      <c r="S68" s="31"/>
      <c r="T68" s="30"/>
      <c r="U68" s="27"/>
      <c r="V68" s="72" t="s">
        <v>0</v>
      </c>
      <c r="W68" s="1"/>
      <c r="X68" s="1"/>
      <c r="Y68" s="1"/>
      <c r="Z68" s="1"/>
      <c r="AA68" s="1"/>
      <c r="AB68" s="1"/>
      <c r="AC68" s="1"/>
      <c r="AD68" s="1"/>
      <c r="AE68" s="1"/>
    </row>
    <row r="69" spans="1:31" s="19" customFormat="1" ht="15" customHeight="1" x14ac:dyDescent="0.3">
      <c r="A69" s="71"/>
      <c r="B69" s="28"/>
      <c r="C69" s="29"/>
      <c r="D69" s="29"/>
      <c r="E69" s="29"/>
      <c r="F69" s="28"/>
      <c r="G69" s="30">
        <v>2</v>
      </c>
      <c r="H69" s="26">
        <f t="shared" si="11"/>
        <v>28</v>
      </c>
      <c r="I69" s="31"/>
      <c r="J69" s="31"/>
      <c r="K69" s="31"/>
      <c r="L69" s="31"/>
      <c r="M69" s="31"/>
      <c r="N69" s="31"/>
      <c r="O69" s="31"/>
      <c r="P69" s="31" t="s">
        <v>17</v>
      </c>
      <c r="Q69" s="31" t="s">
        <v>17</v>
      </c>
      <c r="R69" s="31"/>
      <c r="S69" s="31"/>
      <c r="T69" s="30"/>
      <c r="U69" s="27"/>
      <c r="V69" s="72" t="s">
        <v>0</v>
      </c>
      <c r="W69" s="1"/>
      <c r="X69" s="1"/>
      <c r="Y69" s="1"/>
      <c r="Z69" s="1"/>
      <c r="AA69" s="1"/>
      <c r="AB69" s="1"/>
      <c r="AC69" s="1"/>
      <c r="AD69" s="1"/>
      <c r="AE69" s="1"/>
    </row>
    <row r="70" spans="1:31" s="19" customFormat="1" ht="15" customHeight="1" x14ac:dyDescent="0.3">
      <c r="A70" s="71"/>
      <c r="B70" s="28"/>
      <c r="C70" s="29"/>
      <c r="D70" s="29"/>
      <c r="E70" s="29"/>
      <c r="F70" s="28"/>
      <c r="G70" s="30">
        <v>13</v>
      </c>
      <c r="H70" s="26">
        <f t="shared" si="11"/>
        <v>41</v>
      </c>
      <c r="I70" s="31"/>
      <c r="J70" s="31"/>
      <c r="K70" s="31"/>
      <c r="L70" s="31" t="s">
        <v>17</v>
      </c>
      <c r="M70" s="31"/>
      <c r="N70" s="31"/>
      <c r="O70" s="31" t="s">
        <v>17</v>
      </c>
      <c r="P70" s="31" t="s">
        <v>17</v>
      </c>
      <c r="Q70" s="31" t="s">
        <v>17</v>
      </c>
      <c r="R70" s="31"/>
      <c r="S70" s="31" t="s">
        <v>118</v>
      </c>
      <c r="T70" s="30" t="s">
        <v>43</v>
      </c>
      <c r="U70" s="31" t="s">
        <v>119</v>
      </c>
      <c r="V70" s="72" t="s">
        <v>120</v>
      </c>
      <c r="W70" s="1"/>
      <c r="X70" s="1"/>
      <c r="Y70" s="1"/>
      <c r="Z70" s="1"/>
      <c r="AA70" s="1"/>
      <c r="AB70" s="1"/>
      <c r="AC70" s="1"/>
      <c r="AD70" s="1"/>
      <c r="AE70" s="1"/>
    </row>
    <row r="71" spans="1:31" s="19" customFormat="1" ht="15" customHeight="1" x14ac:dyDescent="0.3">
      <c r="A71" s="71"/>
      <c r="B71" s="28"/>
      <c r="C71" s="29"/>
      <c r="D71" s="29"/>
      <c r="E71" s="29"/>
      <c r="F71" s="28"/>
      <c r="G71" s="30">
        <v>2</v>
      </c>
      <c r="H71" s="26">
        <f t="shared" si="11"/>
        <v>43</v>
      </c>
      <c r="I71" s="31"/>
      <c r="J71" s="31"/>
      <c r="K71" s="31"/>
      <c r="L71" s="31" t="s">
        <v>90</v>
      </c>
      <c r="M71" s="31"/>
      <c r="N71" s="31"/>
      <c r="O71" s="31" t="s">
        <v>89</v>
      </c>
      <c r="P71" s="31" t="s">
        <v>17</v>
      </c>
      <c r="Q71" s="31" t="s">
        <v>90</v>
      </c>
      <c r="R71" s="31"/>
      <c r="S71" s="31"/>
      <c r="T71" s="30"/>
      <c r="U71" s="27"/>
      <c r="V71" s="72" t="s">
        <v>0</v>
      </c>
      <c r="W71" s="1"/>
      <c r="X71" s="1"/>
      <c r="Y71" s="1"/>
      <c r="Z71" s="1"/>
      <c r="AA71" s="1"/>
      <c r="AB71" s="1"/>
      <c r="AC71" s="1"/>
      <c r="AD71" s="1"/>
      <c r="AE71" s="1"/>
    </row>
    <row r="72" spans="1:31" s="19" customFormat="1" ht="15" customHeight="1" x14ac:dyDescent="0.3">
      <c r="A72" s="71"/>
      <c r="B72" s="28"/>
      <c r="C72" s="29"/>
      <c r="D72" s="29"/>
      <c r="E72" s="29"/>
      <c r="F72" s="28"/>
      <c r="G72" s="30">
        <v>180</v>
      </c>
      <c r="H72" s="26">
        <f t="shared" si="11"/>
        <v>223</v>
      </c>
      <c r="I72" s="31"/>
      <c r="J72" s="31"/>
      <c r="K72" s="31"/>
      <c r="L72" s="31" t="s">
        <v>90</v>
      </c>
      <c r="M72" s="31"/>
      <c r="N72" s="31"/>
      <c r="O72" s="31"/>
      <c r="P72" s="31" t="s">
        <v>98</v>
      </c>
      <c r="Q72" s="31" t="s">
        <v>89</v>
      </c>
      <c r="R72" s="31"/>
      <c r="S72" s="33" t="s">
        <v>4</v>
      </c>
      <c r="T72" s="32" t="s">
        <v>43</v>
      </c>
      <c r="U72" s="33" t="s">
        <v>103</v>
      </c>
      <c r="V72" s="72" t="s">
        <v>132</v>
      </c>
      <c r="W72" s="1"/>
      <c r="X72" s="1"/>
      <c r="Y72" s="1"/>
      <c r="Z72" s="1"/>
      <c r="AA72" s="1"/>
      <c r="AB72" s="1"/>
      <c r="AC72" s="1"/>
      <c r="AD72" s="1"/>
      <c r="AE72" s="1"/>
    </row>
    <row r="73" spans="1:31" s="19" customFormat="1" ht="15" customHeight="1" thickBot="1" x14ac:dyDescent="0.35">
      <c r="A73" s="74"/>
      <c r="B73" s="34"/>
      <c r="C73" s="35"/>
      <c r="D73" s="35"/>
      <c r="E73" s="35"/>
      <c r="F73" s="34" t="s">
        <v>134</v>
      </c>
      <c r="G73" s="22">
        <v>2</v>
      </c>
      <c r="H73" s="26">
        <f>G73+H72</f>
        <v>225</v>
      </c>
      <c r="I73" s="21"/>
      <c r="J73" s="21"/>
      <c r="K73" s="21"/>
      <c r="L73" s="21" t="s">
        <v>98</v>
      </c>
      <c r="M73" s="21"/>
      <c r="N73" s="21"/>
      <c r="O73" s="21"/>
      <c r="P73" s="21"/>
      <c r="Q73" s="21"/>
      <c r="R73" s="21"/>
      <c r="S73" s="21"/>
      <c r="T73" s="22"/>
      <c r="U73" s="21"/>
      <c r="V73" s="68" t="s">
        <v>0</v>
      </c>
      <c r="W73" s="1">
        <f>SUM($G$63:$G$73)</f>
        <v>225</v>
      </c>
      <c r="X73" s="1"/>
      <c r="Y73" s="1">
        <f>SUM($G$63:$G$73)</f>
        <v>225</v>
      </c>
      <c r="Z73" s="1"/>
      <c r="AA73" s="1">
        <f>SUM($G$63:$G$73)</f>
        <v>225</v>
      </c>
      <c r="AB73" s="1"/>
      <c r="AC73" s="1"/>
      <c r="AD73" s="1"/>
      <c r="AE73" s="1"/>
    </row>
    <row r="74" spans="1:31" s="19" customFormat="1" ht="15" customHeight="1" thickTop="1" thickBot="1" x14ac:dyDescent="0.35">
      <c r="A74" s="76">
        <v>16</v>
      </c>
      <c r="B74" s="36" t="s">
        <v>66</v>
      </c>
      <c r="C74" s="37">
        <v>1</v>
      </c>
      <c r="D74" s="25" t="s">
        <v>0</v>
      </c>
      <c r="E74" s="37">
        <v>17</v>
      </c>
      <c r="F74" s="36" t="s">
        <v>67</v>
      </c>
      <c r="G74" s="37" t="s">
        <v>29</v>
      </c>
      <c r="H74" s="37" t="s">
        <v>29</v>
      </c>
      <c r="I74" s="36" t="s">
        <v>0</v>
      </c>
      <c r="J74" s="36" t="s">
        <v>0</v>
      </c>
      <c r="K74" s="36" t="s">
        <v>0</v>
      </c>
      <c r="L74" s="36" t="s">
        <v>0</v>
      </c>
      <c r="M74" s="36" t="s">
        <v>0</v>
      </c>
      <c r="N74" s="36" t="s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36"/>
      <c r="T74" s="37"/>
      <c r="U74" s="36" t="s">
        <v>68</v>
      </c>
      <c r="V74" s="77" t="s">
        <v>0</v>
      </c>
      <c r="W74" s="1"/>
      <c r="X74" s="1"/>
      <c r="Y74" s="1"/>
      <c r="Z74" s="1"/>
      <c r="AA74" s="1"/>
      <c r="AB74" s="1"/>
      <c r="AC74" s="1"/>
      <c r="AD74" s="1"/>
      <c r="AE74" s="1"/>
    </row>
    <row r="75" spans="1:31" s="19" customFormat="1" ht="15" customHeight="1" thickTop="1" x14ac:dyDescent="0.3">
      <c r="A75" s="69">
        <v>17</v>
      </c>
      <c r="B75" s="23" t="s">
        <v>66</v>
      </c>
      <c r="C75" s="25">
        <v>1</v>
      </c>
      <c r="D75" s="25">
        <v>17</v>
      </c>
      <c r="E75" s="25" t="s">
        <v>0</v>
      </c>
      <c r="F75" s="23" t="s">
        <v>69</v>
      </c>
      <c r="G75" s="26">
        <v>7</v>
      </c>
      <c r="H75" s="26">
        <f>G75</f>
        <v>7</v>
      </c>
      <c r="I75" s="27"/>
      <c r="J75" s="27"/>
      <c r="K75" s="27"/>
      <c r="L75" s="27"/>
      <c r="M75" s="27"/>
      <c r="N75" s="27"/>
      <c r="O75" s="27"/>
      <c r="P75" s="27"/>
      <c r="Q75" s="27"/>
      <c r="R75" s="27" t="s">
        <v>17</v>
      </c>
      <c r="S75" s="27" t="s">
        <v>33</v>
      </c>
      <c r="T75" s="26" t="s">
        <v>1</v>
      </c>
      <c r="U75" s="27" t="s">
        <v>34</v>
      </c>
      <c r="V75" s="70" t="s">
        <v>35</v>
      </c>
      <c r="W75" s="1"/>
      <c r="X75" s="1"/>
      <c r="Y75" s="1"/>
      <c r="Z75" s="1"/>
      <c r="AA75" s="1"/>
      <c r="AB75" s="1"/>
      <c r="AC75" s="1"/>
      <c r="AD75" s="1"/>
      <c r="AE75" s="1"/>
    </row>
    <row r="76" spans="1:31" s="19" customFormat="1" ht="15" customHeight="1" x14ac:dyDescent="0.3">
      <c r="A76" s="71"/>
      <c r="B76" s="28"/>
      <c r="C76" s="29"/>
      <c r="D76" s="29"/>
      <c r="E76" s="29"/>
      <c r="F76" s="28"/>
      <c r="G76" s="30">
        <v>6</v>
      </c>
      <c r="H76" s="30">
        <f t="shared" ref="H76:H82" si="12">G76+H75</f>
        <v>13</v>
      </c>
      <c r="I76" s="31"/>
      <c r="J76" s="31"/>
      <c r="K76" s="31"/>
      <c r="L76" s="31"/>
      <c r="M76" s="31" t="s">
        <v>17</v>
      </c>
      <c r="N76" s="31"/>
      <c r="O76" s="31"/>
      <c r="P76" s="31"/>
      <c r="Q76" s="31"/>
      <c r="R76" s="31" t="s">
        <v>17</v>
      </c>
      <c r="S76" s="27" t="s">
        <v>135</v>
      </c>
      <c r="T76" s="26" t="s">
        <v>1</v>
      </c>
      <c r="U76" s="31" t="s">
        <v>136</v>
      </c>
      <c r="V76" s="72" t="s">
        <v>122</v>
      </c>
      <c r="W76" s="1"/>
      <c r="X76" s="1"/>
      <c r="Y76" s="1"/>
      <c r="Z76" s="1"/>
      <c r="AA76" s="1"/>
      <c r="AB76" s="1"/>
      <c r="AC76" s="1"/>
      <c r="AD76" s="1"/>
      <c r="AE76" s="1"/>
    </row>
    <row r="77" spans="1:31" s="19" customFormat="1" ht="15" customHeight="1" x14ac:dyDescent="0.3">
      <c r="A77" s="71"/>
      <c r="B77" s="28"/>
      <c r="C77" s="29"/>
      <c r="D77" s="29"/>
      <c r="E77" s="29"/>
      <c r="F77" s="28"/>
      <c r="G77" s="30">
        <v>6</v>
      </c>
      <c r="H77" s="30">
        <f t="shared" si="12"/>
        <v>19</v>
      </c>
      <c r="I77" s="31"/>
      <c r="J77" s="31"/>
      <c r="K77" s="31"/>
      <c r="L77" s="31" t="s">
        <v>17</v>
      </c>
      <c r="M77" s="31" t="s">
        <v>17</v>
      </c>
      <c r="N77" s="31"/>
      <c r="O77" s="31"/>
      <c r="P77" s="31"/>
      <c r="Q77" s="31"/>
      <c r="R77" s="31" t="s">
        <v>17</v>
      </c>
      <c r="S77" s="31"/>
      <c r="T77" s="30"/>
      <c r="U77" s="31"/>
      <c r="V77" s="72" t="s">
        <v>0</v>
      </c>
      <c r="W77" s="1"/>
      <c r="X77" s="1"/>
      <c r="Y77" s="1"/>
      <c r="Z77" s="1"/>
      <c r="AA77" s="1"/>
      <c r="AB77" s="1"/>
      <c r="AC77" s="1"/>
      <c r="AD77" s="1"/>
      <c r="AE77" s="1"/>
    </row>
    <row r="78" spans="1:31" s="19" customFormat="1" ht="15" customHeight="1" x14ac:dyDescent="0.3">
      <c r="A78" s="71"/>
      <c r="B78" s="28"/>
      <c r="C78" s="29"/>
      <c r="D78" s="29"/>
      <c r="E78" s="29"/>
      <c r="F78" s="28"/>
      <c r="G78" s="30">
        <v>6</v>
      </c>
      <c r="H78" s="30">
        <f t="shared" si="12"/>
        <v>25</v>
      </c>
      <c r="I78" s="31"/>
      <c r="J78" s="31"/>
      <c r="K78" s="31"/>
      <c r="L78" s="31" t="s">
        <v>17</v>
      </c>
      <c r="M78" s="31" t="s">
        <v>17</v>
      </c>
      <c r="N78" s="31" t="s">
        <v>17</v>
      </c>
      <c r="O78" s="31" t="s">
        <v>17</v>
      </c>
      <c r="P78" s="31"/>
      <c r="Q78" s="31"/>
      <c r="R78" s="31" t="s">
        <v>17</v>
      </c>
      <c r="S78" s="31"/>
      <c r="T78" s="30"/>
      <c r="U78" s="31" t="s">
        <v>181</v>
      </c>
      <c r="V78" s="72"/>
      <c r="W78" s="1"/>
      <c r="X78" s="1"/>
      <c r="Y78" s="1"/>
      <c r="Z78" s="1"/>
      <c r="AA78" s="1"/>
      <c r="AB78" s="1"/>
      <c r="AC78" s="1"/>
      <c r="AD78" s="1"/>
      <c r="AE78" s="1"/>
    </row>
    <row r="79" spans="1:31" s="19" customFormat="1" ht="15" customHeight="1" x14ac:dyDescent="0.3">
      <c r="A79" s="71"/>
      <c r="B79" s="28"/>
      <c r="C79" s="29"/>
      <c r="D79" s="29"/>
      <c r="E79" s="29"/>
      <c r="F79" s="28"/>
      <c r="G79" s="30">
        <v>2</v>
      </c>
      <c r="H79" s="30">
        <f t="shared" si="12"/>
        <v>27</v>
      </c>
      <c r="I79" s="31"/>
      <c r="J79" s="31"/>
      <c r="K79" s="31"/>
      <c r="L79" s="31" t="s">
        <v>17</v>
      </c>
      <c r="M79" s="31" t="s">
        <v>11</v>
      </c>
      <c r="N79" s="31" t="s">
        <v>17</v>
      </c>
      <c r="O79" s="31" t="s">
        <v>17</v>
      </c>
      <c r="P79" s="31"/>
      <c r="Q79" s="31"/>
      <c r="R79" s="31" t="s">
        <v>17</v>
      </c>
      <c r="S79" s="27" t="s">
        <v>137</v>
      </c>
      <c r="T79" s="26" t="s">
        <v>1</v>
      </c>
      <c r="U79" s="31" t="s">
        <v>138</v>
      </c>
      <c r="V79" s="72" t="s">
        <v>122</v>
      </c>
      <c r="W79" s="1"/>
      <c r="X79" s="1"/>
      <c r="Y79" s="1"/>
      <c r="Z79" s="1"/>
      <c r="AA79" s="1"/>
      <c r="AB79" s="1"/>
      <c r="AC79" s="1"/>
      <c r="AD79" s="1"/>
      <c r="AE79" s="1"/>
    </row>
    <row r="80" spans="1:31" s="19" customFormat="1" ht="15" customHeight="1" x14ac:dyDescent="0.3">
      <c r="A80" s="71"/>
      <c r="B80" s="28"/>
      <c r="C80" s="29"/>
      <c r="D80" s="29"/>
      <c r="E80" s="29"/>
      <c r="F80" s="28"/>
      <c r="G80" s="32">
        <v>2</v>
      </c>
      <c r="H80" s="30">
        <f t="shared" si="12"/>
        <v>29</v>
      </c>
      <c r="I80" s="33"/>
      <c r="J80" s="33"/>
      <c r="K80" s="33"/>
      <c r="L80" s="33" t="s">
        <v>17</v>
      </c>
      <c r="M80" s="33"/>
      <c r="N80" s="33" t="s">
        <v>11</v>
      </c>
      <c r="O80" s="33" t="s">
        <v>98</v>
      </c>
      <c r="P80" s="33"/>
      <c r="Q80" s="33"/>
      <c r="R80" s="33" t="s">
        <v>17</v>
      </c>
      <c r="S80" s="33"/>
      <c r="T80" s="32"/>
      <c r="U80" s="33"/>
      <c r="V80" s="73"/>
      <c r="W80" s="1"/>
      <c r="X80" s="1"/>
      <c r="Y80" s="1"/>
      <c r="Z80" s="1"/>
      <c r="AA80" s="1"/>
      <c r="AB80" s="1"/>
      <c r="AC80" s="1"/>
      <c r="AD80" s="1"/>
      <c r="AE80" s="1"/>
    </row>
    <row r="81" spans="1:38" s="19" customFormat="1" ht="15" customHeight="1" x14ac:dyDescent="0.3">
      <c r="A81" s="71"/>
      <c r="B81" s="28"/>
      <c r="C81" s="29"/>
      <c r="D81" s="29"/>
      <c r="E81" s="29"/>
      <c r="F81" s="28"/>
      <c r="G81" s="32">
        <v>2</v>
      </c>
      <c r="H81" s="30">
        <f t="shared" si="12"/>
        <v>31</v>
      </c>
      <c r="I81" s="33"/>
      <c r="J81" s="33"/>
      <c r="K81" s="33"/>
      <c r="L81" s="33" t="s">
        <v>11</v>
      </c>
      <c r="M81" s="33"/>
      <c r="N81" s="33"/>
      <c r="O81" s="33"/>
      <c r="P81" s="33"/>
      <c r="Q81" s="33"/>
      <c r="R81" s="33" t="s">
        <v>17</v>
      </c>
      <c r="S81" s="33"/>
      <c r="T81" s="32"/>
      <c r="U81" s="33"/>
      <c r="V81" s="73" t="s">
        <v>0</v>
      </c>
      <c r="W81" s="1"/>
      <c r="X81" s="1"/>
      <c r="Y81" s="1"/>
      <c r="Z81" s="1"/>
      <c r="AA81" s="1"/>
      <c r="AB81" s="1"/>
      <c r="AC81" s="1"/>
      <c r="AD81" s="1"/>
      <c r="AE81" s="1"/>
    </row>
    <row r="82" spans="1:38" s="19" customFormat="1" ht="15" customHeight="1" thickBot="1" x14ac:dyDescent="0.35">
      <c r="A82" s="74"/>
      <c r="B82" s="34"/>
      <c r="C82" s="35"/>
      <c r="D82" s="35"/>
      <c r="E82" s="35"/>
      <c r="F82" s="34"/>
      <c r="G82" s="22">
        <v>2</v>
      </c>
      <c r="H82" s="22">
        <f t="shared" si="12"/>
        <v>33</v>
      </c>
      <c r="I82" s="21"/>
      <c r="J82" s="21"/>
      <c r="K82" s="21"/>
      <c r="L82" s="21"/>
      <c r="M82" s="21"/>
      <c r="N82" s="21"/>
      <c r="O82" s="21"/>
      <c r="P82" s="21"/>
      <c r="Q82" s="21"/>
      <c r="R82" s="21" t="s">
        <v>11</v>
      </c>
      <c r="S82" s="21"/>
      <c r="T82" s="22"/>
      <c r="U82" s="21"/>
      <c r="V82" s="68" t="s">
        <v>0</v>
      </c>
      <c r="W82" s="1">
        <f>SUM(G75:G82)</f>
        <v>33</v>
      </c>
      <c r="X82" s="1"/>
      <c r="Y82" s="1">
        <f>SUM(G75:G82)</f>
        <v>33</v>
      </c>
      <c r="Z82" s="1"/>
      <c r="AA82" s="1">
        <f>SUM(G75:G82)</f>
        <v>33</v>
      </c>
      <c r="AB82" s="1"/>
      <c r="AC82" s="1"/>
      <c r="AD82" s="1"/>
      <c r="AE82" s="1"/>
    </row>
    <row r="83" spans="1:38" s="19" customFormat="1" ht="15" customHeight="1" thickTop="1" thickBot="1" x14ac:dyDescent="0.35">
      <c r="A83" s="76">
        <v>18</v>
      </c>
      <c r="B83" s="36" t="s">
        <v>72</v>
      </c>
      <c r="C83" s="37">
        <v>1</v>
      </c>
      <c r="D83" s="25" t="s">
        <v>0</v>
      </c>
      <c r="E83" s="37">
        <v>19</v>
      </c>
      <c r="F83" s="36" t="s">
        <v>139</v>
      </c>
      <c r="G83" s="37" t="s">
        <v>29</v>
      </c>
      <c r="H83" s="37" t="s">
        <v>29</v>
      </c>
      <c r="I83" s="36" t="s">
        <v>17</v>
      </c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7"/>
      <c r="U83" s="36" t="s">
        <v>30</v>
      </c>
      <c r="V83" s="77" t="s">
        <v>0</v>
      </c>
      <c r="W83" s="1"/>
      <c r="X83" s="1"/>
      <c r="Y83" s="1"/>
      <c r="Z83" s="1"/>
      <c r="AA83" s="1"/>
      <c r="AB83" s="1"/>
      <c r="AC83" s="1"/>
      <c r="AD83" s="1"/>
      <c r="AE83" s="1"/>
    </row>
    <row r="84" spans="1:38" s="19" customFormat="1" ht="15" customHeight="1" thickTop="1" thickBot="1" x14ac:dyDescent="0.35">
      <c r="A84" s="76">
        <v>19</v>
      </c>
      <c r="B84" s="36" t="s">
        <v>73</v>
      </c>
      <c r="C84" s="37">
        <v>1</v>
      </c>
      <c r="D84" s="37">
        <v>19</v>
      </c>
      <c r="E84" s="37" t="s">
        <v>0</v>
      </c>
      <c r="F84" s="36" t="s">
        <v>73</v>
      </c>
      <c r="G84" s="37">
        <v>30</v>
      </c>
      <c r="H84" s="37">
        <v>30</v>
      </c>
      <c r="I84" s="36" t="s">
        <v>17</v>
      </c>
      <c r="J84" s="36"/>
      <c r="K84" s="36"/>
      <c r="L84" s="36"/>
      <c r="M84" s="36"/>
      <c r="N84" s="36"/>
      <c r="O84" s="36"/>
      <c r="P84" s="36"/>
      <c r="Q84" s="36"/>
      <c r="R84" s="36"/>
      <c r="S84" s="36" t="s">
        <v>3</v>
      </c>
      <c r="T84" s="37" t="s">
        <v>1</v>
      </c>
      <c r="U84" s="36" t="s">
        <v>140</v>
      </c>
      <c r="V84" s="77" t="s">
        <v>74</v>
      </c>
      <c r="W84" s="1">
        <f>SUM(G84)</f>
        <v>30</v>
      </c>
      <c r="X84" s="1"/>
      <c r="Y84" s="1">
        <f>SUM(G84)</f>
        <v>30</v>
      </c>
      <c r="Z84" s="1"/>
      <c r="AA84" s="1">
        <f>SUM(G84)</f>
        <v>30</v>
      </c>
      <c r="AB84" s="1"/>
      <c r="AC84" s="1"/>
      <c r="AD84" s="1"/>
      <c r="AE84" s="1"/>
    </row>
    <row r="85" spans="1:38" s="19" customFormat="1" ht="15" customHeight="1" thickTop="1" thickBot="1" x14ac:dyDescent="0.35">
      <c r="A85" s="76">
        <v>20</v>
      </c>
      <c r="B85" s="36" t="s">
        <v>75</v>
      </c>
      <c r="C85" s="37">
        <v>1</v>
      </c>
      <c r="D85" s="37">
        <v>19</v>
      </c>
      <c r="E85" s="37">
        <v>21</v>
      </c>
      <c r="F85" s="36" t="s">
        <v>113</v>
      </c>
      <c r="G85" s="37" t="s">
        <v>29</v>
      </c>
      <c r="H85" s="37" t="s">
        <v>29</v>
      </c>
      <c r="I85" s="36" t="s">
        <v>17</v>
      </c>
      <c r="J85" s="36"/>
      <c r="K85" s="36"/>
      <c r="L85" s="36" t="s">
        <v>17</v>
      </c>
      <c r="M85" s="36"/>
      <c r="N85" s="36"/>
      <c r="O85" s="36"/>
      <c r="P85" s="36"/>
      <c r="Q85" s="36"/>
      <c r="R85" s="36"/>
      <c r="S85" s="36" t="s">
        <v>3</v>
      </c>
      <c r="T85" s="37" t="s">
        <v>43</v>
      </c>
      <c r="U85" s="36" t="s">
        <v>141</v>
      </c>
      <c r="V85" s="77" t="s">
        <v>74</v>
      </c>
      <c r="W85" s="1"/>
      <c r="X85" s="1"/>
      <c r="Y85" s="1"/>
      <c r="Z85" s="1"/>
      <c r="AA85" s="1"/>
      <c r="AB85" s="1"/>
      <c r="AC85" s="1"/>
      <c r="AD85" s="1"/>
      <c r="AE85" s="1"/>
    </row>
    <row r="86" spans="1:38" s="19" customFormat="1" ht="15" customHeight="1" thickTop="1" x14ac:dyDescent="0.3">
      <c r="A86" s="97">
        <v>21</v>
      </c>
      <c r="B86" s="105" t="s">
        <v>178</v>
      </c>
      <c r="C86" s="98" t="s">
        <v>171</v>
      </c>
      <c r="D86" s="98">
        <v>21</v>
      </c>
      <c r="E86" s="98" t="s">
        <v>180</v>
      </c>
      <c r="F86" s="97" t="s">
        <v>172</v>
      </c>
      <c r="G86" s="99" t="s">
        <v>173</v>
      </c>
      <c r="H86" s="99" t="s">
        <v>173</v>
      </c>
      <c r="I86" s="100" t="s">
        <v>89</v>
      </c>
      <c r="J86" s="100"/>
      <c r="K86" s="100"/>
      <c r="L86" s="100" t="s">
        <v>89</v>
      </c>
      <c r="M86" s="100"/>
      <c r="N86" s="100"/>
      <c r="O86" s="100"/>
      <c r="P86" s="100"/>
      <c r="Q86" s="100"/>
      <c r="R86" s="100"/>
      <c r="S86" s="100"/>
      <c r="T86" s="99"/>
      <c r="U86" s="100"/>
      <c r="V86" s="100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s="19" customFormat="1" ht="15" customHeight="1" x14ac:dyDescent="0.3">
      <c r="A87" s="101"/>
      <c r="B87" s="106" t="s">
        <v>179</v>
      </c>
      <c r="C87" s="102"/>
      <c r="D87" s="102"/>
      <c r="E87" s="102"/>
      <c r="F87" s="101" t="s">
        <v>174</v>
      </c>
      <c r="G87" s="103">
        <v>7</v>
      </c>
      <c r="H87" s="103">
        <f>G87</f>
        <v>7</v>
      </c>
      <c r="I87" s="104"/>
      <c r="J87" s="104"/>
      <c r="K87" s="104"/>
      <c r="L87" s="104"/>
      <c r="M87" s="104"/>
      <c r="N87" s="104"/>
      <c r="O87" s="104"/>
      <c r="P87" s="104"/>
      <c r="Q87" s="104"/>
      <c r="R87" s="104" t="s">
        <v>90</v>
      </c>
      <c r="S87" s="100" t="s">
        <v>33</v>
      </c>
      <c r="T87" s="99" t="s">
        <v>1</v>
      </c>
      <c r="U87" s="100" t="s">
        <v>34</v>
      </c>
      <c r="V87" s="100" t="s">
        <v>35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s="19" customFormat="1" ht="15" customHeight="1" x14ac:dyDescent="0.3">
      <c r="A88" s="101"/>
      <c r="B88" s="106"/>
      <c r="C88" s="102"/>
      <c r="D88" s="102"/>
      <c r="E88" s="102"/>
      <c r="F88" s="101"/>
      <c r="G88" s="103">
        <v>6</v>
      </c>
      <c r="H88" s="103">
        <f>H87+G88</f>
        <v>13</v>
      </c>
      <c r="I88" s="104"/>
      <c r="J88" s="104"/>
      <c r="K88" s="104"/>
      <c r="L88" s="104"/>
      <c r="M88" s="104" t="s">
        <v>17</v>
      </c>
      <c r="N88" s="104"/>
      <c r="O88" s="104"/>
      <c r="P88" s="104"/>
      <c r="Q88" s="104"/>
      <c r="R88" s="104" t="s">
        <v>90</v>
      </c>
      <c r="S88" s="104"/>
      <c r="T88" s="103"/>
      <c r="U88" s="104"/>
      <c r="V88" s="104" t="s">
        <v>0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s="19" customFormat="1" ht="15" customHeight="1" x14ac:dyDescent="0.3">
      <c r="A89" s="101"/>
      <c r="B89" s="101"/>
      <c r="C89" s="102"/>
      <c r="D89" s="102"/>
      <c r="E89" s="102"/>
      <c r="F89" s="101"/>
      <c r="G89" s="103">
        <v>2</v>
      </c>
      <c r="H89" s="103">
        <f t="shared" ref="H89:H92" si="13">H88+G89</f>
        <v>15</v>
      </c>
      <c r="I89" s="104"/>
      <c r="J89" s="104"/>
      <c r="K89" s="104"/>
      <c r="L89" s="104"/>
      <c r="M89" s="104" t="s">
        <v>11</v>
      </c>
      <c r="N89" s="104"/>
      <c r="O89" s="104"/>
      <c r="P89" s="104"/>
      <c r="Q89" s="104"/>
      <c r="R89" s="104" t="s">
        <v>90</v>
      </c>
      <c r="S89" s="104"/>
      <c r="T89" s="103"/>
      <c r="U89" s="104"/>
      <c r="V89" s="104" t="s">
        <v>0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s="19" customFormat="1" ht="15" customHeight="1" x14ac:dyDescent="0.3">
      <c r="A90" s="101"/>
      <c r="B90" s="101"/>
      <c r="C90" s="102"/>
      <c r="D90" s="102"/>
      <c r="E90" s="102"/>
      <c r="F90" s="101"/>
      <c r="G90" s="103">
        <v>7</v>
      </c>
      <c r="H90" s="103">
        <f t="shared" si="13"/>
        <v>22</v>
      </c>
      <c r="I90" s="104"/>
      <c r="J90" s="104"/>
      <c r="K90" s="104"/>
      <c r="L90" s="104" t="s">
        <v>17</v>
      </c>
      <c r="M90" s="104"/>
      <c r="N90" s="104"/>
      <c r="O90" s="104"/>
      <c r="P90" s="104"/>
      <c r="Q90" s="104"/>
      <c r="R90" s="104" t="s">
        <v>90</v>
      </c>
      <c r="S90" s="104"/>
      <c r="T90" s="103"/>
      <c r="U90" s="104"/>
      <c r="V90" s="104" t="s">
        <v>0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s="19" customFormat="1" ht="15" customHeight="1" x14ac:dyDescent="0.3">
      <c r="A91" s="101"/>
      <c r="B91" s="101"/>
      <c r="C91" s="102"/>
      <c r="D91" s="102"/>
      <c r="E91" s="102"/>
      <c r="F91" s="101"/>
      <c r="G91" s="103">
        <v>2</v>
      </c>
      <c r="H91" s="103">
        <f t="shared" si="13"/>
        <v>24</v>
      </c>
      <c r="I91" s="104"/>
      <c r="J91" s="104"/>
      <c r="K91" s="104"/>
      <c r="L91" s="104" t="s">
        <v>11</v>
      </c>
      <c r="M91" s="104"/>
      <c r="N91" s="104"/>
      <c r="O91" s="104"/>
      <c r="P91" s="104"/>
      <c r="Q91" s="104"/>
      <c r="R91" s="104" t="s">
        <v>90</v>
      </c>
      <c r="S91" s="104"/>
      <c r="T91" s="103" t="s">
        <v>1</v>
      </c>
      <c r="U91" s="104" t="s">
        <v>177</v>
      </c>
      <c r="V91" s="104" t="s">
        <v>176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s="19" customFormat="1" ht="15" customHeight="1" x14ac:dyDescent="0.3">
      <c r="A92" s="101"/>
      <c r="B92" s="101"/>
      <c r="C92" s="102"/>
      <c r="D92" s="102"/>
      <c r="E92" s="102"/>
      <c r="F92" s="101"/>
      <c r="G92" s="103">
        <v>2</v>
      </c>
      <c r="H92" s="103">
        <f t="shared" si="13"/>
        <v>26</v>
      </c>
      <c r="I92" s="104"/>
      <c r="J92" s="104"/>
      <c r="K92" s="104"/>
      <c r="L92" s="104"/>
      <c r="M92" s="104"/>
      <c r="N92" s="104"/>
      <c r="O92" s="104"/>
      <c r="P92" s="104"/>
      <c r="Q92" s="104"/>
      <c r="R92" s="104" t="s">
        <v>89</v>
      </c>
      <c r="S92" s="104"/>
      <c r="T92" s="103"/>
      <c r="U92" s="104"/>
      <c r="V92" s="104" t="s">
        <v>0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s="19" customFormat="1" ht="15" customHeight="1" thickBot="1" x14ac:dyDescent="0.35">
      <c r="A93" s="101"/>
      <c r="B93" s="101"/>
      <c r="C93" s="102"/>
      <c r="D93" s="102"/>
      <c r="E93" s="102"/>
      <c r="F93" s="101" t="s">
        <v>175</v>
      </c>
      <c r="G93" s="103" t="s">
        <v>173</v>
      </c>
      <c r="H93" s="103" t="s">
        <v>173</v>
      </c>
      <c r="I93" s="104" t="s">
        <v>90</v>
      </c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3"/>
      <c r="U93" s="104"/>
      <c r="V93" s="104" t="s">
        <v>0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s="19" customFormat="1" ht="15" customHeight="1" thickTop="1" thickBot="1" x14ac:dyDescent="0.35">
      <c r="A94" s="76">
        <v>22</v>
      </c>
      <c r="B94" s="36" t="s">
        <v>76</v>
      </c>
      <c r="C94" s="37">
        <v>1</v>
      </c>
      <c r="D94" s="37">
        <v>19</v>
      </c>
      <c r="E94" s="37">
        <v>23</v>
      </c>
      <c r="F94" s="36" t="s">
        <v>77</v>
      </c>
      <c r="G94" s="37" t="s">
        <v>29</v>
      </c>
      <c r="H94" s="37" t="s">
        <v>29</v>
      </c>
      <c r="I94" s="36" t="s">
        <v>17</v>
      </c>
      <c r="J94" s="36"/>
      <c r="K94" s="36"/>
      <c r="L94" s="36" t="s">
        <v>17</v>
      </c>
      <c r="M94" s="36"/>
      <c r="N94" s="36"/>
      <c r="O94" s="36"/>
      <c r="P94" s="36"/>
      <c r="Q94" s="36"/>
      <c r="R94" s="36"/>
      <c r="S94" s="36" t="s">
        <v>3</v>
      </c>
      <c r="T94" s="37" t="s">
        <v>43</v>
      </c>
      <c r="U94" s="36" t="s">
        <v>141</v>
      </c>
      <c r="V94" s="77" t="s">
        <v>74</v>
      </c>
      <c r="W94" s="1"/>
      <c r="X94" s="1"/>
      <c r="Y94" s="1"/>
      <c r="Z94" s="1"/>
      <c r="AA94" s="1"/>
      <c r="AB94" s="1"/>
      <c r="AC94" s="1"/>
      <c r="AD94" s="1"/>
      <c r="AE94" s="1"/>
    </row>
    <row r="95" spans="1:38" s="19" customFormat="1" ht="15" customHeight="1" thickTop="1" thickBot="1" x14ac:dyDescent="0.35">
      <c r="A95" s="76">
        <v>23</v>
      </c>
      <c r="B95" s="36" t="s">
        <v>76</v>
      </c>
      <c r="C95" s="37">
        <v>1</v>
      </c>
      <c r="D95" s="37">
        <v>19</v>
      </c>
      <c r="E95" s="37">
        <v>24</v>
      </c>
      <c r="F95" s="36" t="s">
        <v>78</v>
      </c>
      <c r="G95" s="37" t="s">
        <v>29</v>
      </c>
      <c r="H95" s="37" t="s">
        <v>29</v>
      </c>
      <c r="I95" s="36" t="s">
        <v>17</v>
      </c>
      <c r="J95" s="36"/>
      <c r="K95" s="36"/>
      <c r="L95" s="36" t="s">
        <v>17</v>
      </c>
      <c r="M95" s="36"/>
      <c r="N95" s="36"/>
      <c r="O95" s="36"/>
      <c r="P95" s="36"/>
      <c r="Q95" s="36"/>
      <c r="R95" s="36"/>
      <c r="S95" s="36" t="s">
        <v>3</v>
      </c>
      <c r="T95" s="37" t="s">
        <v>43</v>
      </c>
      <c r="U95" s="36" t="s">
        <v>141</v>
      </c>
      <c r="V95" s="89" t="s">
        <v>74</v>
      </c>
      <c r="W95" s="1"/>
      <c r="X95" s="1"/>
      <c r="Y95" s="1"/>
      <c r="Z95" s="1"/>
      <c r="AA95" s="1"/>
      <c r="AB95" s="1"/>
      <c r="AC95" s="1"/>
      <c r="AD95" s="1"/>
      <c r="AE95" s="1"/>
    </row>
    <row r="96" spans="1:38" s="19" customFormat="1" ht="15" customHeight="1" thickTop="1" x14ac:dyDescent="0.3">
      <c r="A96" s="82">
        <v>24</v>
      </c>
      <c r="B96" s="45" t="s">
        <v>104</v>
      </c>
      <c r="C96" s="46">
        <v>1</v>
      </c>
      <c r="D96" s="46"/>
      <c r="E96" s="46"/>
      <c r="F96" s="45" t="s">
        <v>105</v>
      </c>
      <c r="G96" s="46">
        <v>2</v>
      </c>
      <c r="H96" s="46">
        <v>2</v>
      </c>
      <c r="I96" s="45" t="s">
        <v>17</v>
      </c>
      <c r="J96" s="45"/>
      <c r="K96" s="45" t="s">
        <v>17</v>
      </c>
      <c r="L96" s="45" t="s">
        <v>17</v>
      </c>
      <c r="M96" s="45"/>
      <c r="N96" s="45"/>
      <c r="O96" s="45"/>
      <c r="P96" s="45"/>
      <c r="Q96" s="45"/>
      <c r="R96" s="45"/>
      <c r="S96" s="45"/>
      <c r="T96" s="46"/>
      <c r="U96" s="45"/>
      <c r="V96" s="80"/>
      <c r="W96" s="1"/>
      <c r="X96" s="1"/>
      <c r="Y96" s="1"/>
      <c r="Z96" s="1"/>
      <c r="AA96" s="1"/>
      <c r="AB96" s="1"/>
      <c r="AC96" s="1"/>
      <c r="AD96" s="1"/>
      <c r="AE96" s="1"/>
    </row>
    <row r="97" spans="1:38" ht="15" customHeight="1" x14ac:dyDescent="0.3">
      <c r="A97" s="1" t="s">
        <v>79</v>
      </c>
      <c r="B97" s="1"/>
      <c r="C97" s="2"/>
      <c r="D97" s="2"/>
      <c r="E97" s="2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1"/>
      <c r="V97" s="1"/>
      <c r="W97" s="1">
        <f>SUM(G97)</f>
        <v>0</v>
      </c>
      <c r="X97" s="1"/>
      <c r="Y97" s="1">
        <f>SUM(G97)</f>
        <v>0</v>
      </c>
      <c r="Z97" s="1"/>
      <c r="AA97" s="1">
        <f>SUM(G97)</f>
        <v>0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" customHeight="1" x14ac:dyDescent="0.3">
      <c r="A98" s="1"/>
      <c r="B98" s="1"/>
      <c r="C98" s="2"/>
      <c r="D98" s="2"/>
      <c r="E98" s="2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1"/>
      <c r="V98" s="1"/>
      <c r="W98" s="14">
        <f>SUM(W11:W97)</f>
        <v>4988</v>
      </c>
      <c r="X98" s="95" t="s">
        <v>167</v>
      </c>
      <c r="Y98" s="14">
        <f>SUM(Y11:Y97)</f>
        <v>15476</v>
      </c>
      <c r="Z98" s="95" t="s">
        <v>167</v>
      </c>
      <c r="AA98" s="14">
        <f>SUM(AA11:AA97)</f>
        <v>81026</v>
      </c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" customHeight="1" x14ac:dyDescent="0.3">
      <c r="A99" s="1"/>
      <c r="B99" s="1"/>
      <c r="C99" s="2"/>
      <c r="D99" s="2"/>
      <c r="E99" s="2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1"/>
      <c r="V99" s="1"/>
      <c r="W99" s="15">
        <f>SUM(W98/3600)</f>
        <v>1.3855555555555557</v>
      </c>
      <c r="X99" s="15">
        <f>SUM((W98-(W101*3600))/60)</f>
        <v>23.133333333333333</v>
      </c>
      <c r="Y99" s="15">
        <f>SUM(Y98/3600)</f>
        <v>4.2988888888888885</v>
      </c>
      <c r="Z99" s="15">
        <f>SUM((Y98-(Y101*3600))/60)</f>
        <v>17.933333333333334</v>
      </c>
      <c r="AA99" s="15">
        <f>SUM(AA98/3600)</f>
        <v>22.507222222222222</v>
      </c>
      <c r="AB99" s="15">
        <f>SUM((AA98-(AA101*3600))/60)</f>
        <v>30.433333333333334</v>
      </c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" customHeight="1" x14ac:dyDescent="0.3">
      <c r="A100" s="1"/>
      <c r="B100" s="1"/>
      <c r="C100" s="2"/>
      <c r="D100" s="2"/>
      <c r="E100" s="2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1"/>
      <c r="V100" s="1"/>
      <c r="W100" s="96">
        <v>2</v>
      </c>
      <c r="X100" s="17" t="s">
        <v>21</v>
      </c>
      <c r="Y100" s="96">
        <v>10</v>
      </c>
      <c r="Z100" s="17" t="s">
        <v>21</v>
      </c>
      <c r="AA100" s="96">
        <v>60</v>
      </c>
      <c r="AB100" s="17" t="s">
        <v>21</v>
      </c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" customHeight="1" x14ac:dyDescent="0.3">
      <c r="A101" s="1"/>
      <c r="B101" s="1"/>
      <c r="C101" s="2"/>
      <c r="D101" s="2"/>
      <c r="E101" s="2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1"/>
      <c r="V101" s="1"/>
      <c r="W101" s="16">
        <f>INT(W99)</f>
        <v>1</v>
      </c>
      <c r="X101" s="1" t="s">
        <v>82</v>
      </c>
      <c r="Y101" s="16">
        <f>INT(Y99)</f>
        <v>4</v>
      </c>
      <c r="Z101" s="1" t="s">
        <v>168</v>
      </c>
      <c r="AA101" s="16">
        <f>INT(AA99)</f>
        <v>22</v>
      </c>
      <c r="AB101" s="1" t="s">
        <v>168</v>
      </c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" customHeight="1" x14ac:dyDescent="0.3">
      <c r="A102" s="1"/>
      <c r="B102" s="1"/>
      <c r="C102" s="2"/>
      <c r="D102" s="2"/>
      <c r="E102" s="2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1"/>
      <c r="V102" s="1"/>
      <c r="W102" s="16">
        <f>INT(X99)</f>
        <v>23</v>
      </c>
      <c r="X102" s="1" t="s">
        <v>83</v>
      </c>
      <c r="Y102" s="16">
        <f>INT(Z99)</f>
        <v>17</v>
      </c>
      <c r="Z102" s="1" t="s">
        <v>169</v>
      </c>
      <c r="AA102" s="16">
        <f>INT(AB99)</f>
        <v>30</v>
      </c>
      <c r="AB102" s="1" t="s">
        <v>169</v>
      </c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" customHeight="1" x14ac:dyDescent="0.3">
      <c r="A103" s="1"/>
      <c r="B103" s="1"/>
      <c r="C103" s="2"/>
      <c r="D103" s="2"/>
      <c r="E103" s="2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1"/>
      <c r="V103" s="1"/>
      <c r="W103" s="18">
        <f>SUM(W98-((W101*3600)+(W102*60)))</f>
        <v>8</v>
      </c>
      <c r="X103" s="1" t="s">
        <v>80</v>
      </c>
      <c r="Y103" s="18">
        <f>SUM(Y98-((Y101*3600)+(Y102*60)))</f>
        <v>56</v>
      </c>
      <c r="Z103" s="1" t="s">
        <v>170</v>
      </c>
      <c r="AA103" s="18">
        <f>SUM(AA98-((AA101*3600)+(AA102*60)))</f>
        <v>26</v>
      </c>
      <c r="AB103" s="1" t="s">
        <v>170</v>
      </c>
      <c r="AD103" s="1"/>
      <c r="AE103" s="1"/>
      <c r="AF103" s="1"/>
      <c r="AG103" s="1"/>
      <c r="AH103" s="1"/>
      <c r="AI103" s="1"/>
      <c r="AJ103" s="1"/>
      <c r="AK103" s="1"/>
      <c r="AL103" s="1"/>
    </row>
  </sheetData>
  <phoneticPr fontId="5" type="noConversion"/>
  <pageMargins left="0.7" right="0.7" top="0.75" bottom="0.75" header="0.3" footer="0.3"/>
  <pageSetup paperSize="9" scale="40" orientation="portrait" r:id="rId1"/>
  <colBreaks count="1" manualBreakCount="1">
    <brk id="22" max="1048575" man="1"/>
  </colBreaks>
  <ignoredErrors>
    <ignoredError sqref="H15 H3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6. Purge_Cyl</vt:lpstr>
      <vt:lpstr>7. Purge_Man</vt:lpstr>
      <vt:lpstr>8. Purge_line</vt:lpstr>
      <vt:lpstr>'6. Purge_Cyl'!Print_Area</vt:lpstr>
      <vt:lpstr>'7. Purge_Man'!Print_Area</vt:lpstr>
      <vt:lpstr>'8. Purge_line'!Print_Area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Helman, William</dc:creator>
  <cp:lastModifiedBy>kct</cp:lastModifiedBy>
  <cp:lastPrinted>2024-10-25T01:15:16Z</cp:lastPrinted>
  <dcterms:created xsi:type="dcterms:W3CDTF">2019-11-19T23:26:40Z</dcterms:created>
  <dcterms:modified xsi:type="dcterms:W3CDTF">2024-10-25T03:01:56Z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C:\Users\sengguen\Desktop\작업장\51. Program 3자 검증 Sheet 제작\Purge_Sequence_GC_20210930.xlsx</vt:lpwstr>
  </property>
</Properties>
</file>