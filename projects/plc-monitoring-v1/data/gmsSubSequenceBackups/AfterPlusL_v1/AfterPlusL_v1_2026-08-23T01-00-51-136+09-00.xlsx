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terPlusL_v1" state="visible" r:id="rId4"/>
  </sheets>
  <calcPr calcId="171027"/>
</workbook>
</file>

<file path=xl/sharedStrings.xml><?xml version="1.0" encoding="utf-8"?>
<sst xmlns="http://schemas.openxmlformats.org/spreadsheetml/2006/main" count="531" uniqueCount="117">
  <si>
    <t>+L 구간 - 교환 후 가압시험 v1 (AfterPlusL)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</si>
  <si>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</si>
  <si>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</si>
  <si>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</si>
  <si>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</si>
  <si>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</si>
  <si>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</si>
  <si>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</si>
  <si>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</si>
  <si>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</si>
  <si>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</si>
  <si>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</si>
  <si>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</si>
  <si>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</si>
  <si>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</si>
  <si>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</si>
  <si>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</si>
  <si>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</si>
  <si>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</si>
  <si>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</si>
  <si>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</si>
  <si>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</si>
  <si>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</si>
  <si>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</si>
  <si>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</si>
  <si>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</si>
  <si>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</si>
  <si>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</si>
  <si>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</si>
  <si>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</si>
  <si>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</si>
  <si>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</si>
  <si>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</si>
  <si>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</si>
  <si>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</si>
  <si>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</si>
  <si>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</si>
  <si>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</si>
  <si>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</si>
  <si>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</si>
  <si>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</si>
  <si>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</si>
  <si>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1A</t>
  </si>
  <si>
    <t>[ 고압 HE Leak check 라인 확인 ]</t>
  </si>
  <si>
    <t/>
  </si>
  <si>
    <t>자동</t>
  </si>
  <si>
    <t>1B</t>
  </si>
  <si>
    <t>고압 HE Leak check 라인 옵션 확인중 (On: HPIV Open -&gt; PGII / Off: PNBV -&gt; PIV Open -&gt; PGII)</t>
  </si>
  <si>
    <t>C</t>
  </si>
  <si>
    <t>고압HELeakCheck</t>
  </si>
  <si>
    <t>ON</t>
  </si>
  <si>
    <t>-</t>
  </si>
  <si>
    <t>OPTION 분기: ON이면 Next Step(1A, HPIV Open), OFF이면 Alarm Goto(1B, PNBV Open)로 분기</t>
  </si>
  <si>
    <t>3</t>
  </si>
  <si>
    <t>HPIV Valve Open (고압 HE Leak check 라인 사용)</t>
  </si>
  <si>
    <t>O</t>
  </si>
  <si>
    <t>고압 HE Leak check 라인 On 분기: HPIV Open 후 Step 3(PGII Open)으로 이동</t>
  </si>
  <si>
    <t>2</t>
  </si>
  <si>
    <t>PNBV Valve Open</t>
  </si>
  <si>
    <t>고압 HE Leak check 라인 Off 분기 1단계 -&gt; Step 2(PIV Open)로 이동</t>
  </si>
  <si>
    <t>PIV Valve Open</t>
  </si>
  <si>
    <t>고압 HE Leak check 라인 Off 분기 2단계: PIV Open 후 Step 3(PGII Open)으로 이동</t>
  </si>
  <si>
    <t>4</t>
  </si>
  <si>
    <t>PGII Valve Open</t>
  </si>
  <si>
    <t>공통 합류: PGII Valve Open 후 NPT 압력범위 확인(Step 4)으로 이동</t>
  </si>
  <si>
    <t>5</t>
  </si>
  <si>
    <t>[ NPT 압력범위 확인 ]</t>
  </si>
  <si>
    <t>NPT 압력범위 확인중</t>
  </si>
  <si>
    <t>NPT_{side} &amp; NPT_{side}</t>
  </si>
  <si>
    <t>&gt;= &amp; &lt;=</t>
  </si>
  <si>
    <t>가압 시험-압력 하한_{side} &amp; 가압 시험-압력 상한_{side}</t>
  </si>
  <si>
    <t>NPT 압력범위 이탈</t>
  </si>
  <si>
    <t>NPT 압력 확인: 가압 시험-압력 하한 &lt;= NPT &lt;= 가압 시험-압력 상한</t>
  </si>
  <si>
    <t>6</t>
  </si>
  <si>
    <t>PGI Valve Open</t>
  </si>
  <si>
    <t>PGI Valve Open 후 HPT 압력범위 확인(Step 6)으로 이동</t>
  </si>
  <si>
    <t>7</t>
  </si>
  <si>
    <t>[ HPT 압력범위 확인 ]</t>
  </si>
  <si>
    <t>HPT 압력범위 확인중</t>
  </si>
  <si>
    <t>HPT_{side} &amp; HPT_{side}</t>
  </si>
  <si>
    <t>HPT 압력범위 이탈</t>
  </si>
  <si>
    <t>HPT 압력 확인: 가압 시험-압력 하한 &lt;= HPT &lt;= 가압 시험-압력 상한</t>
  </si>
  <si>
    <t>8</t>
  </si>
  <si>
    <t>PGI Valve Close (역순 Close 1단계)</t>
  </si>
  <si>
    <t>밸브 역순 Close 1단계: PGI Valve Close</t>
  </si>
  <si>
    <t>9</t>
  </si>
  <si>
    <t>PGII Valve Close (역순 Close 2단계)</t>
  </si>
  <si>
    <t>밸브 역순 Close 2단계: PGII Valve Close</t>
  </si>
  <si>
    <t>10</t>
  </si>
  <si>
    <t>공급 밸브 전체 Close (HPIV/PIV/PNBV)</t>
  </si>
  <si>
    <t>밸브 역순 Close 3단계: 공급측 밸브 전 차단 후 안정화 시간 루틴(Step 10)으로 이동</t>
  </si>
  <si>
    <t>10A</t>
  </si>
  <si>
    <t>[ HPT 압력 안정화 시간 확인 ]</t>
  </si>
  <si>
    <t>CAPTURE:HPT_{side}</t>
  </si>
  <si>
    <t>HPT 압력 안정화 시간중</t>
  </si>
  <si>
    <t>HPT_{side}</t>
  </si>
  <si>
    <t>&gt;=</t>
  </si>
  <si>
    <t>가압 시험-압력 하한_{side}</t>
  </si>
  <si>
    <t>가압시험 FAIL(안정화 중 압력 하락)</t>
  </si>
  <si>
    <t>[CAPTURE+실시간 안전감시] HPT 초기값 캡처 및 실시간 안전감시(HPT &gt;= 가압 시험-압력 하한)</t>
  </si>
  <si>
    <t>11</t>
  </si>
  <si>
    <t>진행횟수</t>
  </si>
  <si>
    <t>가압 시험-안정화 시간_{side}</t>
  </si>
  <si>
    <t>[분단위 카운트] 진행시간 &gt;= 가압 시험-안정화 시간_{side} 이면 Step 11(본 가압시험) 진입. 미달 시 10으로 되돌아가 반복.</t>
  </si>
  <si>
    <t>11A</t>
  </si>
  <si>
    <t>[ 가압시험 진행 (압력강하 확인) ]</t>
  </si>
  <si>
    <t>가압 시험중 (압력강하 누출 감시)</t>
  </si>
  <si>
    <t>HPT_{side}:CAPOFFSET</t>
  </si>
  <si>
    <t>-가압 시험-압력 변동 기준_{side}</t>
  </si>
  <si>
    <t>가압시험 FAIL(시험 중 압력변동 기준 이탈)</t>
  </si>
  <si>
    <t>[CAPOFFSET] 초기값 대비 압력 강하폭 감시 (HPT:CAPOFFSET &gt;= -가압 시험-압력 변동 기준)</t>
  </si>
  <si>
    <t>15</t>
  </si>
  <si>
    <t>가압 시험-시험 시간_{side}</t>
  </si>
  <si>
    <t>[분단위 카운트] 진행시간 &gt;= 가압 시험-시험 시간_{side} 이면 Step 15(Puls Vent 옵션 분기)로 통과. 미달 시 11로 되돌아가 반복.</t>
  </si>
  <si>
    <t>[ 교환 후 가압시험 Sequence Complet ]</t>
  </si>
  <si>
    <t>교환 후 가압시험이 완료되었습니다.</t>
  </si>
  <si>
    <t>교환 후 가압시험 완료 후 다음 Status(-VT 또는 4P)로 자동 진행.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</si>
</sst>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13</v>
      </c>
      <c r="C5">
        <v>1</v>
      </c>
      <c r="D5" t="s">
        <v>42</v>
      </c>
      <c r="E5" t="s">
        <v>43</v>
      </c>
      <c r="F5" t="s">
        <v>44</v>
      </c>
      <c r="G5" t="s">
        <v>45</v>
      </c>
      <c r="H5" t="s">
        <v>44</v>
      </c>
      <c r="I5" t="s">
        <v>46</v>
      </c>
      <c r="J5" t="s">
        <v>47</v>
      </c>
      <c r="K5">
        <v>1</v>
      </c>
      <c r="L5">
        <f>SUM($K$5:K5)</f>
        <v>1</v>
      </c>
      <c r="M5" t="s">
        <v>44</v>
      </c>
      <c r="N5" t="s">
        <v>44</v>
      </c>
      <c r="O5" t="s">
        <v>44</v>
      </c>
      <c r="P5" t="s">
        <v>44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49</v>
      </c>
      <c r="AD5" t="s">
        <v>50</v>
      </c>
      <c r="AE5" t="s">
        <v>51</v>
      </c>
      <c r="AF5" t="s">
        <v>44</v>
      </c>
      <c r="AG5" t="s">
        <v>44</v>
      </c>
      <c r="AH5" t="s">
        <v>44</v>
      </c>
      <c r="AI5" t="s">
        <v>52</v>
      </c>
    </row>
    <row r="6" spans="1:35" x14ac:dyDescent="0.25">
      <c r="A6" t="s">
        <v>42</v>
      </c>
      <c r="B6">
        <v>13</v>
      </c>
      <c r="C6">
        <v>2</v>
      </c>
      <c r="D6" t="s">
        <v>53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54</v>
      </c>
      <c r="K6">
        <v>2</v>
      </c>
      <c r="L6">
        <f>SUM($K$5:K6)</f>
        <v>3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55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56</v>
      </c>
    </row>
    <row r="7" spans="1:35" x14ac:dyDescent="0.25">
      <c r="A7" t="s">
        <v>46</v>
      </c>
      <c r="B7">
        <v>13</v>
      </c>
      <c r="C7">
        <v>3</v>
      </c>
      <c r="D7" t="s">
        <v>57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58</v>
      </c>
      <c r="K7">
        <v>2</v>
      </c>
      <c r="L7">
        <f>SUM($K$5:K7)</f>
        <v>5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55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59</v>
      </c>
    </row>
    <row r="8" spans="1:35" x14ac:dyDescent="0.25">
      <c r="A8" t="s">
        <v>57</v>
      </c>
      <c r="B8">
        <v>13</v>
      </c>
      <c r="C8">
        <v>4</v>
      </c>
      <c r="D8" t="s">
        <v>53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60</v>
      </c>
      <c r="K8">
        <v>2</v>
      </c>
      <c r="L8">
        <f>SUM($K$5:K8)</f>
        <v>7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55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61</v>
      </c>
    </row>
    <row r="9" spans="1:35" x14ac:dyDescent="0.25">
      <c r="A9" t="s">
        <v>53</v>
      </c>
      <c r="B9">
        <v>13</v>
      </c>
      <c r="C9">
        <v>5</v>
      </c>
      <c r="D9" t="s">
        <v>62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63</v>
      </c>
      <c r="K9">
        <v>2</v>
      </c>
      <c r="L9">
        <f>SUM($K$5:K9)</f>
        <v>9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55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64</v>
      </c>
    </row>
    <row r="10" spans="1:35" x14ac:dyDescent="0.25">
      <c r="A10" t="s">
        <v>62</v>
      </c>
      <c r="B10">
        <v>13</v>
      </c>
      <c r="C10">
        <v>6</v>
      </c>
      <c r="D10" t="s">
        <v>65</v>
      </c>
      <c r="E10" t="s">
        <v>66</v>
      </c>
      <c r="F10" t="s">
        <v>44</v>
      </c>
      <c r="G10" t="s">
        <v>45</v>
      </c>
      <c r="H10" t="s">
        <v>44</v>
      </c>
      <c r="I10" t="s">
        <v>44</v>
      </c>
      <c r="J10" t="s">
        <v>67</v>
      </c>
      <c r="K10">
        <v>2</v>
      </c>
      <c r="L10">
        <f>SUM($K$5:K10)</f>
        <v>11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68</v>
      </c>
      <c r="AD10" t="s">
        <v>69</v>
      </c>
      <c r="AE10" t="s">
        <v>70</v>
      </c>
      <c r="AF10" t="s">
        <v>44</v>
      </c>
      <c r="AG10">
        <v>1</v>
      </c>
      <c r="AH10" t="s">
        <v>71</v>
      </c>
      <c r="AI10" t="s">
        <v>72</v>
      </c>
    </row>
    <row r="11" spans="1:35" x14ac:dyDescent="0.25">
      <c r="A11" t="s">
        <v>65</v>
      </c>
      <c r="B11">
        <v>13</v>
      </c>
      <c r="C11">
        <v>7</v>
      </c>
      <c r="D11" t="s">
        <v>73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74</v>
      </c>
      <c r="K11">
        <v>2</v>
      </c>
      <c r="L11">
        <f>SUM($K$5:K11)</f>
        <v>13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55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75</v>
      </c>
    </row>
    <row r="12" spans="1:35" x14ac:dyDescent="0.25">
      <c r="A12" t="s">
        <v>73</v>
      </c>
      <c r="B12">
        <v>13</v>
      </c>
      <c r="C12">
        <v>8</v>
      </c>
      <c r="D12" t="s">
        <v>76</v>
      </c>
      <c r="E12" t="s">
        <v>77</v>
      </c>
      <c r="F12" t="s">
        <v>44</v>
      </c>
      <c r="G12" t="s">
        <v>45</v>
      </c>
      <c r="H12" t="s">
        <v>44</v>
      </c>
      <c r="I12" t="s">
        <v>44</v>
      </c>
      <c r="J12" t="s">
        <v>78</v>
      </c>
      <c r="K12">
        <v>2</v>
      </c>
      <c r="L12">
        <f>SUM($K$5:K12)</f>
        <v>15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79</v>
      </c>
      <c r="AD12" t="s">
        <v>69</v>
      </c>
      <c r="AE12" t="s">
        <v>70</v>
      </c>
      <c r="AF12" t="s">
        <v>44</v>
      </c>
      <c r="AG12">
        <v>1</v>
      </c>
      <c r="AH12" t="s">
        <v>80</v>
      </c>
      <c r="AI12" t="s">
        <v>81</v>
      </c>
    </row>
    <row r="13" spans="1:35" x14ac:dyDescent="0.25">
      <c r="A13" t="s">
        <v>76</v>
      </c>
      <c r="B13">
        <v>13</v>
      </c>
      <c r="C13">
        <v>9</v>
      </c>
      <c r="D13" t="s">
        <v>82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83</v>
      </c>
      <c r="K13">
        <v>2</v>
      </c>
      <c r="L13">
        <f>SUM($K$5:K13)</f>
        <v>17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48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84</v>
      </c>
    </row>
    <row r="14" spans="1:35" x14ac:dyDescent="0.25">
      <c r="A14" t="s">
        <v>82</v>
      </c>
      <c r="B14">
        <v>13</v>
      </c>
      <c r="C14">
        <v>10</v>
      </c>
      <c r="D14" t="s">
        <v>85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86</v>
      </c>
      <c r="K14">
        <v>2</v>
      </c>
      <c r="L14">
        <f>SUM($K$5:K14)</f>
        <v>19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48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87</v>
      </c>
    </row>
    <row r="15" spans="1:35" x14ac:dyDescent="0.25">
      <c r="A15" t="s">
        <v>85</v>
      </c>
      <c r="B15">
        <v>13</v>
      </c>
      <c r="C15">
        <v>11</v>
      </c>
      <c r="D15" t="s">
        <v>88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89</v>
      </c>
      <c r="K15">
        <v>2</v>
      </c>
      <c r="L15">
        <f>SUM($K$5:K15)</f>
        <v>21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48</v>
      </c>
      <c r="T15" t="s">
        <v>48</v>
      </c>
      <c r="U15" t="s">
        <v>48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90</v>
      </c>
    </row>
    <row r="16" spans="1:35" x14ac:dyDescent="0.25">
      <c r="A16" t="s">
        <v>88</v>
      </c>
      <c r="B16">
        <v>13</v>
      </c>
      <c r="C16">
        <v>12</v>
      </c>
      <c r="D16" t="s">
        <v>91</v>
      </c>
      <c r="E16" t="s">
        <v>92</v>
      </c>
      <c r="F16" t="s">
        <v>93</v>
      </c>
      <c r="G16" t="s">
        <v>45</v>
      </c>
      <c r="H16" t="s">
        <v>44</v>
      </c>
      <c r="I16" t="s">
        <v>44</v>
      </c>
      <c r="J16" t="s">
        <v>94</v>
      </c>
      <c r="K16">
        <v>60</v>
      </c>
      <c r="L16">
        <f>SUM($K$5:K16)</f>
        <v>81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95</v>
      </c>
      <c r="AD16" t="s">
        <v>96</v>
      </c>
      <c r="AE16" t="s">
        <v>97</v>
      </c>
      <c r="AF16" t="s">
        <v>44</v>
      </c>
      <c r="AG16">
        <v>1</v>
      </c>
      <c r="AH16" t="s">
        <v>98</v>
      </c>
      <c r="AI16" t="s">
        <v>99</v>
      </c>
    </row>
    <row r="17" spans="1:35" x14ac:dyDescent="0.25">
      <c r="A17" t="s">
        <v>91</v>
      </c>
      <c r="B17">
        <v>13</v>
      </c>
      <c r="C17">
        <v>13</v>
      </c>
      <c r="D17" t="s">
        <v>100</v>
      </c>
      <c r="E17" t="s">
        <v>44</v>
      </c>
      <c r="F17" t="s">
        <v>44</v>
      </c>
      <c r="G17" t="s">
        <v>45</v>
      </c>
      <c r="H17" t="s">
        <v>44</v>
      </c>
      <c r="I17" t="s">
        <v>88</v>
      </c>
      <c r="J17" t="s">
        <v>44</v>
      </c>
      <c r="K17">
        <v>1</v>
      </c>
      <c r="L17">
        <f>SUM($K$5:K17)</f>
        <v>82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101</v>
      </c>
      <c r="AD17" t="s">
        <v>96</v>
      </c>
      <c r="AE17" t="s">
        <v>102</v>
      </c>
      <c r="AF17" t="s">
        <v>44</v>
      </c>
      <c r="AG17">
        <v>1</v>
      </c>
      <c r="AH17" t="s">
        <v>44</v>
      </c>
      <c r="AI17" t="s">
        <v>103</v>
      </c>
    </row>
    <row r="18" spans="1:35" x14ac:dyDescent="0.25">
      <c r="A18" t="s">
        <v>100</v>
      </c>
      <c r="B18">
        <v>13</v>
      </c>
      <c r="C18">
        <v>14</v>
      </c>
      <c r="D18" t="s">
        <v>104</v>
      </c>
      <c r="E18" t="s">
        <v>105</v>
      </c>
      <c r="F18" t="s">
        <v>93</v>
      </c>
      <c r="G18" t="s">
        <v>45</v>
      </c>
      <c r="H18" t="s">
        <v>44</v>
      </c>
      <c r="I18" t="s">
        <v>44</v>
      </c>
      <c r="J18" t="s">
        <v>106</v>
      </c>
      <c r="K18">
        <v>60</v>
      </c>
      <c r="L18">
        <f>SUM($K$5:K18)</f>
        <v>142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107</v>
      </c>
      <c r="AD18" t="s">
        <v>96</v>
      </c>
      <c r="AE18" t="s">
        <v>108</v>
      </c>
      <c r="AF18" t="s">
        <v>44</v>
      </c>
      <c r="AG18">
        <v>1</v>
      </c>
      <c r="AH18" t="s">
        <v>109</v>
      </c>
      <c r="AI18" t="s">
        <v>110</v>
      </c>
    </row>
    <row r="19" spans="1:35" x14ac:dyDescent="0.25">
      <c r="A19" t="s">
        <v>104</v>
      </c>
      <c r="B19">
        <v>13</v>
      </c>
      <c r="C19">
        <v>15</v>
      </c>
      <c r="D19" t="s">
        <v>111</v>
      </c>
      <c r="E19" t="s">
        <v>44</v>
      </c>
      <c r="F19" t="s">
        <v>44</v>
      </c>
      <c r="G19" t="s">
        <v>45</v>
      </c>
      <c r="H19" t="s">
        <v>44</v>
      </c>
      <c r="I19" t="s">
        <v>100</v>
      </c>
      <c r="J19" t="s">
        <v>44</v>
      </c>
      <c r="K19">
        <v>1</v>
      </c>
      <c r="L19">
        <f>SUM($K$5:K19)</f>
        <v>143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101</v>
      </c>
      <c r="AD19" t="s">
        <v>96</v>
      </c>
      <c r="AE19" t="s">
        <v>112</v>
      </c>
      <c r="AF19" t="s">
        <v>44</v>
      </c>
      <c r="AG19">
        <v>1</v>
      </c>
      <c r="AH19" t="s">
        <v>44</v>
      </c>
      <c r="AI19" t="s">
        <v>113</v>
      </c>
    </row>
    <row r="20" spans="1:35" x14ac:dyDescent="0.25">
      <c r="A20">
        <v>12</v>
      </c>
      <c r="B20">
        <v>13</v>
      </c>
      <c r="C20">
        <v>16</v>
      </c>
      <c r="D20" t="s">
        <v>44</v>
      </c>
      <c r="E20" t="s">
        <v>114</v>
      </c>
      <c r="F20" t="s">
        <v>44</v>
      </c>
      <c r="G20" t="s">
        <v>45</v>
      </c>
      <c r="H20" t="s">
        <v>44</v>
      </c>
      <c r="I20" t="s">
        <v>44</v>
      </c>
      <c r="J20" t="s">
        <v>115</v>
      </c>
      <c r="K20">
        <v>1</v>
      </c>
      <c r="L20">
        <f>SUM($K$5:K20)</f>
        <v>144</v>
      </c>
      <c r="M20" t="s">
        <v>44</v>
      </c>
      <c r="N20" t="s">
        <v>44</v>
      </c>
      <c r="O20" t="s">
        <v>44</v>
      </c>
      <c r="P20" t="s">
        <v>44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116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AfterPlusL_v1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2026-08-22T16:00:51Z</dcterms:created>
  <dcterms:modified xsi:type="dcterms:W3CDTF">2026-08-22T16:00:51Z</dcterms:modified>
</cp:coreProperties>
</file>