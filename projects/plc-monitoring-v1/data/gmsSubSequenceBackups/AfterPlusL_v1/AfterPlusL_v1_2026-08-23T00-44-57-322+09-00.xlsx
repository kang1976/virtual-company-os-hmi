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terPlusL_v1" state="visible" r:id="rId4"/>
  </sheets>
  <calcPr calcId="171027"/>
</workbook>
</file>

<file path=xl/sharedStrings.xml><?xml version="1.0" encoding="utf-8"?>
<sst xmlns="http://schemas.openxmlformats.org/spreadsheetml/2006/main" count="744" uniqueCount="142">
  <si>
    <t>+L 구간 - 교환 후 가압시험 v1 (AfterPlusL) - GMS 서브시퀀스</t>
  </si>
  <si>
    <t>STEP</t>
  </si>
  <si>
    <t>TIMING / CONDITION</t>
  </si>
  <si>
    <t>VALVE (O=Open, C=Close, 공백=이전 상태 유지, O+n/C+n=n초 뒤 순차 적용)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</si>
  <si>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</si>
  <si>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</si>
  <si>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</si>
  <si>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</si>
  <si>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</si>
  <si>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</si>
  <si>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</si>
  <si>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</si>
  <si>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</si>
  <si>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</si>
  <si>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</si>
  <si>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</si>
  <si>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</si>
  <si>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</si>
  <si>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</si>
  <si>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</si>
  <si>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</si>
  <si>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</si>
  <si>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</si>
  <si>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</si>
  <si>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</si>
  <si>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</si>
  <si>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</si>
  <si>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</si>
  <si>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</si>
  <si>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</si>
  <si>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</si>
  <si>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</si>
  <si>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</si>
  <si>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</si>
  <si>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</si>
  <si>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</si>
  <si>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</si>
  <si>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</si>
  <si>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</si>
  <si>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</si>
  <si>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</si>
  <si>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</si>
  <si>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>2</t>
  </si>
  <si>
    <t>[ 교환 후 가압시험 Mode ]</t>
  </si>
  <si>
    <t/>
  </si>
  <si>
    <t>자동</t>
  </si>
  <si>
    <t>교환 후 가압 시험을 시작합니다.</t>
  </si>
  <si>
    <t>TASK.md 2026-08-09 지시 반영.</t>
  </si>
  <si>
    <t>3</t>
  </si>
  <si>
    <t>[ Bypass 사용 옵션 확인 ]</t>
  </si>
  <si>
    <t>6B</t>
  </si>
  <si>
    <t>Bypass 사용 옵션을 확인합니다.</t>
  </si>
  <si>
    <t>Bypass사용</t>
  </si>
  <si>
    <t>OFF</t>
  </si>
  <si>
    <t>-</t>
  </si>
  <si>
    <t>OPTION 태그 분기(gms.js OPTION 탭 "Bypass 사용 옵션") - 미적용(OFF, 조건 참)이면 Next Step(3, HPIV부터 전체 진행)으로, 적용(ON, 조건 거짓)이면 Alarm Goto(6B, PGI부터 - Bypass가 이미 HPIV/PGII/NPT를 확인했다고 봄)로. alarmGoto가 있어 실제 알람은 안 남(단순 분기).</t>
  </si>
  <si>
    <t>4</t>
  </si>
  <si>
    <t>HPIV Open</t>
  </si>
  <si>
    <t>O</t>
  </si>
  <si>
    <t>Bypass 미적용(OFF) 분기 1/4.</t>
  </si>
  <si>
    <t>5</t>
  </si>
  <si>
    <t>PGII Open</t>
  </si>
  <si>
    <t>Bypass 미적용(OFF) 분기 2/4.</t>
  </si>
  <si>
    <t>6</t>
  </si>
  <si>
    <t>[ NPT 압력범위 확인 ]</t>
  </si>
  <si>
    <t>NPT 압력범위 확인중</t>
  </si>
  <si>
    <t>NPT_{side} &amp; NPT_{side}</t>
  </si>
  <si>
    <t>&gt;= &amp; &lt;=</t>
  </si>
  <si>
    <t>가압 시험-압력 하한_{side} &amp; 가압 시험-압력 상한_{side}</t>
  </si>
  <si>
    <t>NPT 압력범위 이탈</t>
  </si>
  <si>
    <t>Bypass 미적용(OFF) 분기 3/4 - "가압시험 압력 하한 &lt; NPT &lt; 가압시험 압력 상한"(TASK.md)을 같은 태그(NPT_{side})를 "&amp;"로 두 번 적어 상/하한 동시 확인하는 방식으로 구현(기존 TwoP_v1.json Step4의 다중조건 패턴과 동일).</t>
  </si>
  <si>
    <t>7</t>
  </si>
  <si>
    <t>PGI Open</t>
  </si>
  <si>
    <t>Bypass 미적용(OFF) 분기 4/4 - 완료 후 Step 7(HPT 압력범위 확인, 공용)로 합류.</t>
  </si>
  <si>
    <t>PGI Open (Bypass 완료 - HPIV/PGII/NPT 확인 생략)</t>
  </si>
  <si>
    <t>Bypass 적용(ON) 분기 - Bypass_v1.json이 이미 HPIV(또는 PNBV+PIV)/PGII/NPT 진공유지 확인을 마쳤으므로 PGI Open만 하고 Step 7로 합류(TASK.md "BYPASS 시퀀스 완료후 PGI").</t>
  </si>
  <si>
    <t>8</t>
  </si>
  <si>
    <t>[ HPT 압력범위 확인 ]</t>
  </si>
  <si>
    <t>HPT 압력범위 확인중</t>
  </si>
  <si>
    <t>HPT_{side} &amp; HPT_{side}</t>
  </si>
  <si>
    <t>HPT 압력범위 이탈</t>
  </si>
  <si>
    <t>Bypass 옵션 두 분기(OFF: Step6 경유, ON: Step6B 경유)가 여기서 합류한다 - "가압시험 압력 하한 &lt; HPT &lt; 가압시험 압력 상한"(TASK.md).</t>
  </si>
  <si>
    <t>8A</t>
  </si>
  <si>
    <t>CAPTURE:HPT_{side}</t>
  </si>
  <si>
    <t>HPT 압력안정화 시간중</t>
  </si>
  <si>
    <t>HPT_{side}</t>
  </si>
  <si>
    <t>&gt;=</t>
  </si>
  <si>
    <t>가압 시험-압력 하한_{side}</t>
  </si>
  <si>
    <t>가압시험 FAIL(안정화 중 압력 하락)</t>
  </si>
  <si>
    <t>[CAPTURE+실시간 안전감시] Cycle 열 'CAPTURE:HPT_{side}'가 이 Step 최초 도달 시 '초기값'을 한 번 저장하고 '현재값'은 계속 갱신한다(TASK.md "초기값 이동, 현재값 실시간 모니터링"). 안전 조건은 HPT_{side}&gt;=가압 시험-압력 하한_{side}(기존 시드 CONFIG) - 60초 타이머 만료 시점뿐 아니라 실시간(subSeqCheckLiveSafety)으로도 확인, 거짓이면 즉시 Alarm Seq.1("가압시험 FAIL") 발생·정지(TASK.md "안정화 시간 도중에 압력 하한 밑으로 떨어지면 가압시험 FAIL 알람 발생하고 멈춤").</t>
  </si>
  <si>
    <t>9</t>
  </si>
  <si>
    <t>진행횟수</t>
  </si>
  <si>
    <t>가압 시험-안정화 시간_{side}</t>
  </si>
  <si>
    <t>[분단위 카운트] 진행시간&gt;=가압 시험-안정화 시간_{side}(기존 시드 CONFIG) 이면 참 -&gt; Next Step(9, 시험 구간). 거짓이면 Alarm Goto(8)로 되돌아가 반복.</t>
  </si>
  <si>
    <t>9A</t>
  </si>
  <si>
    <t>가압 시험중</t>
  </si>
  <si>
    <t>HPT_{side}:CAPOFFSET</t>
  </si>
  <si>
    <t>-가압 시험-압력 변동 기준_{side}</t>
  </si>
  <si>
    <t>가압시험 FAIL(시험 중 압력변동 기준 이탈)</t>
  </si>
  <si>
    <t>[CAPOFFSET, 부호 확장] 이 Step 최초 도달 시 HPT_{side} 초기값을 새로 캡처한다(시험 구간 전용 - 안정화 구간의 캡처와 별개). ':CAPOFFSET' 비교대상 앞에 '-'를 붙이면(gms-sub-sequence-runner.js 2026-08-09 확장) 목표값 = 초기값 - 가압 시험-압력 변동 기준_{side}(기존 시드 CONFIG) - 즉 "초기값보다 이 기준만큼 이상 떨어지면 FAIL"(TASK.md "압력변동기준보다 HPT값이 초기값보다 벗어나면 가압시험 FAIL")을 그대로 구현.</t>
  </si>
  <si>
    <t>15</t>
  </si>
  <si>
    <t>가압 시험-시험 시간_{side}</t>
  </si>
  <si>
    <t>[분단위 카운트] 진행시간&gt;=가압 시험-시험 시간_{side}(기존 시드 CONFIG) 이면 참 -&gt; Next Step(15, Puls Vent 옵션 분기, 가압시험 통과). 거짓이면 Alarm Goto(9)로 되돌아가 반복.</t>
  </si>
  <si>
    <t>30</t>
  </si>
  <si>
    <t>[ 가압시험 완료후 Puls Vent 옵션 확인 ]</t>
  </si>
  <si>
    <t>17</t>
  </si>
  <si>
    <t>가압시험 완료후 Puls Vent 옵션을 확인합니다.</t>
  </si>
  <si>
    <t>가압시험후PulsVent</t>
  </si>
  <si>
    <t>OPTION 태그 분기(gms.js OPTION 탭 "가압시험 완료후 Puls Vent") - 미적용(OFF, 조건 참)이면 Next Step(30, 바로 완료)으로, 적용(ON, 조건 거짓)이면 Alarm Goto(17, Puls Vent 미니시퀀스)로.</t>
  </si>
  <si>
    <t>18</t>
  </si>
  <si>
    <t>[ Puls Vent 진행 ]</t>
  </si>
  <si>
    <t>Puls Vent 진행중입니다.</t>
  </si>
  <si>
    <t>VPT</t>
  </si>
  <si>
    <t>&lt;=</t>
  </si>
  <si>
    <t>진공하한치_{side}</t>
  </si>
  <si>
    <t>진공 불량(VPT)</t>
  </si>
  <si>
    <t>Puls_v1.json Step 2~9 구조 재사용(TASK.md "Puls Vent 시퀀스 실행") - Step 22A의 반복문 진입점.</t>
  </si>
  <si>
    <t>19</t>
  </si>
  <si>
    <t>Pump 배관 진공 Check</t>
  </si>
  <si>
    <t>C</t>
  </si>
  <si>
    <t>20</t>
  </si>
  <si>
    <t>21</t>
  </si>
  <si>
    <t>22</t>
  </si>
  <si>
    <t>23</t>
  </si>
  <si>
    <t>배관내 잔류 가스 Check</t>
  </si>
  <si>
    <t>22A</t>
  </si>
  <si>
    <t>Pulse Vent Stop (psi)_{side}</t>
  </si>
  <si>
    <t>Puls_v1.json Step7과 동일 패턴 - HPT_{side}&lt;=Pulse Vent Stop(psi)(기존 시드 CONFIG) 이면(참) Next Step(23)로 진행. 거짓이면 Alarm Goto(22A)로 이동.</t>
  </si>
  <si>
    <t>22B</t>
  </si>
  <si>
    <t>Pulse Vent 진행 횟수 Check</t>
  </si>
  <si>
    <t>Puls vent 설정횟수_{side}</t>
  </si>
  <si>
    <t>Puls_v1.json Step7A와 동일 패턴 - 진행횟수&gt;=Puls vent 설정횟수(기존 시드 CONFIG, 참/소진)면 Next Step(22B)에서 정지. 거짓이면 Alarm Goto(17)로 Step 17부터 반복.</t>
  </si>
  <si>
    <t>Puls Vent 설정횟수 초과</t>
  </si>
  <si>
    <t>설정횟수를 초과하여 Puls Vent를 정지합니다.</t>
  </si>
  <si>
    <t>&lt;</t>
  </si>
  <si>
    <t>Puls Vent Fail - 설정횟수 초과</t>
  </si>
  <si>
    <t>Puls_v1.json Step7B와 동일 패턴 - 정지 전용 Step, Alarm Goto 없어 Alarm Seq.1 실제 발동.</t>
  </si>
  <si>
    <t>Pulse Vent 마무리</t>
  </si>
  <si>
    <t>Puls_v1.json Step8과 달리 이 미니시퀀스에서 연 밸브(PNV/LPV_{side}/HPI_{side})만 Close한다 - 가압시험 본 구간에서 이미 열어둔 HPIV/PGII/PGI/PNBV/PIV 등은 건드리지 않는다(전체 초기화 금지, 4P 진행 전 상태 보존 목적).</t>
  </si>
  <si>
    <t>[ 교환 후 가압시험 Sequence Complet ]</t>
  </si>
  <si>
    <t>교환 후 가압시험이 완료되었습니다.</t>
  </si>
  <si>
    <t>Puls Vent 옵션 미적용(Step15-&gt;여기 직행)/적용(Step23-&gt;여기) 두 경로가 합류하는 유일한 종료 지점.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</si>
</sst>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13</v>
      </c>
      <c r="C5">
        <v>1</v>
      </c>
      <c r="D5" t="s">
        <v>42</v>
      </c>
      <c r="E5" t="s">
        <v>43</v>
      </c>
      <c r="F5" t="s">
        <v>44</v>
      </c>
      <c r="G5" t="s">
        <v>45</v>
      </c>
      <c r="H5" t="s">
        <v>44</v>
      </c>
      <c r="I5" t="s">
        <v>44</v>
      </c>
      <c r="J5" t="s">
        <v>46</v>
      </c>
      <c r="K5">
        <v>1</v>
      </c>
      <c r="L5">
        <f>SUM($K$5:K5)</f>
        <v>1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47</v>
      </c>
    </row>
    <row r="6" spans="1:35" x14ac:dyDescent="0.25">
      <c r="A6" t="s">
        <v>42</v>
      </c>
      <c r="B6">
        <v>13</v>
      </c>
      <c r="C6">
        <v>2</v>
      </c>
      <c r="D6" t="s">
        <v>48</v>
      </c>
      <c r="E6" t="s">
        <v>49</v>
      </c>
      <c r="F6" t="s">
        <v>44</v>
      </c>
      <c r="G6" t="s">
        <v>45</v>
      </c>
      <c r="H6" t="s">
        <v>44</v>
      </c>
      <c r="I6" t="s">
        <v>50</v>
      </c>
      <c r="J6" t="s">
        <v>51</v>
      </c>
      <c r="K6">
        <v>1</v>
      </c>
      <c r="L6">
        <f>SUM($K$5:K6)</f>
        <v>2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52</v>
      </c>
      <c r="AD6" t="s">
        <v>53</v>
      </c>
      <c r="AE6" t="s">
        <v>54</v>
      </c>
      <c r="AF6" t="s">
        <v>44</v>
      </c>
      <c r="AG6" t="s">
        <v>44</v>
      </c>
      <c r="AH6" t="s">
        <v>44</v>
      </c>
      <c r="AI6" t="s">
        <v>55</v>
      </c>
    </row>
    <row r="7" spans="1:35" x14ac:dyDescent="0.25">
      <c r="A7" t="s">
        <v>48</v>
      </c>
      <c r="B7">
        <v>13</v>
      </c>
      <c r="C7">
        <v>3</v>
      </c>
      <c r="D7" t="s">
        <v>56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57</v>
      </c>
      <c r="K7">
        <v>2</v>
      </c>
      <c r="L7">
        <f>SUM($K$5:K7)</f>
        <v>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58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59</v>
      </c>
    </row>
    <row r="8" spans="1:35" x14ac:dyDescent="0.25">
      <c r="A8" t="s">
        <v>56</v>
      </c>
      <c r="B8">
        <v>13</v>
      </c>
      <c r="C8">
        <v>4</v>
      </c>
      <c r="D8" t="s">
        <v>60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61</v>
      </c>
      <c r="K8">
        <v>2</v>
      </c>
      <c r="L8">
        <f>SUM($K$5:K8)</f>
        <v>6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58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62</v>
      </c>
    </row>
    <row r="9" spans="1:35" x14ac:dyDescent="0.25">
      <c r="A9" t="s">
        <v>60</v>
      </c>
      <c r="B9">
        <v>13</v>
      </c>
      <c r="C9">
        <v>5</v>
      </c>
      <c r="D9" t="s">
        <v>63</v>
      </c>
      <c r="E9" t="s">
        <v>64</v>
      </c>
      <c r="F9" t="s">
        <v>44</v>
      </c>
      <c r="G9" t="s">
        <v>45</v>
      </c>
      <c r="H9" t="s">
        <v>44</v>
      </c>
      <c r="I9" t="s">
        <v>44</v>
      </c>
      <c r="J9" t="s">
        <v>65</v>
      </c>
      <c r="K9">
        <v>2</v>
      </c>
      <c r="L9">
        <f>SUM($K$5:K9)</f>
        <v>8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66</v>
      </c>
      <c r="AD9" t="s">
        <v>67</v>
      </c>
      <c r="AE9" t="s">
        <v>68</v>
      </c>
      <c r="AF9" t="s">
        <v>44</v>
      </c>
      <c r="AG9">
        <v>1</v>
      </c>
      <c r="AH9" t="s">
        <v>69</v>
      </c>
      <c r="AI9" t="s">
        <v>70</v>
      </c>
    </row>
    <row r="10" spans="1:35" x14ac:dyDescent="0.25">
      <c r="A10" t="s">
        <v>63</v>
      </c>
      <c r="B10">
        <v>13</v>
      </c>
      <c r="C10">
        <v>6</v>
      </c>
      <c r="D10" t="s">
        <v>71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72</v>
      </c>
      <c r="K10">
        <v>2</v>
      </c>
      <c r="L10">
        <f>SUM($K$5:K10)</f>
        <v>10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58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73</v>
      </c>
    </row>
    <row r="11" spans="1:35" x14ac:dyDescent="0.25">
      <c r="A11" t="s">
        <v>50</v>
      </c>
      <c r="B11">
        <v>13</v>
      </c>
      <c r="C11">
        <v>7</v>
      </c>
      <c r="D11" t="s">
        <v>71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74</v>
      </c>
      <c r="K11">
        <v>2</v>
      </c>
      <c r="L11">
        <f>SUM($K$5:K11)</f>
        <v>12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58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75</v>
      </c>
    </row>
    <row r="12" spans="1:35" x14ac:dyDescent="0.25">
      <c r="A12" t="s">
        <v>71</v>
      </c>
      <c r="B12">
        <v>13</v>
      </c>
      <c r="C12">
        <v>8</v>
      </c>
      <c r="D12" t="s">
        <v>76</v>
      </c>
      <c r="E12" t="s">
        <v>77</v>
      </c>
      <c r="F12" t="s">
        <v>44</v>
      </c>
      <c r="G12" t="s">
        <v>45</v>
      </c>
      <c r="H12" t="s">
        <v>44</v>
      </c>
      <c r="I12" t="s">
        <v>44</v>
      </c>
      <c r="J12" t="s">
        <v>78</v>
      </c>
      <c r="K12">
        <v>2</v>
      </c>
      <c r="L12">
        <f>SUM($K$5:K12)</f>
        <v>14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79</v>
      </c>
      <c r="AD12" t="s">
        <v>67</v>
      </c>
      <c r="AE12" t="s">
        <v>68</v>
      </c>
      <c r="AF12" t="s">
        <v>44</v>
      </c>
      <c r="AG12">
        <v>1</v>
      </c>
      <c r="AH12" t="s">
        <v>80</v>
      </c>
      <c r="AI12" t="s">
        <v>81</v>
      </c>
    </row>
    <row r="13" spans="1:35" x14ac:dyDescent="0.25">
      <c r="A13" t="s">
        <v>76</v>
      </c>
      <c r="B13">
        <v>13</v>
      </c>
      <c r="C13">
        <v>9</v>
      </c>
      <c r="D13" t="s">
        <v>82</v>
      </c>
      <c r="E13" t="s">
        <v>44</v>
      </c>
      <c r="F13" t="s">
        <v>83</v>
      </c>
      <c r="G13" t="s">
        <v>45</v>
      </c>
      <c r="H13" t="s">
        <v>44</v>
      </c>
      <c r="I13" t="s">
        <v>44</v>
      </c>
      <c r="J13" t="s">
        <v>84</v>
      </c>
      <c r="K13">
        <v>60</v>
      </c>
      <c r="L13">
        <f>SUM($K$5:K13)</f>
        <v>74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85</v>
      </c>
      <c r="AD13" t="s">
        <v>86</v>
      </c>
      <c r="AE13" t="s">
        <v>87</v>
      </c>
      <c r="AF13" t="s">
        <v>44</v>
      </c>
      <c r="AG13">
        <v>1</v>
      </c>
      <c r="AH13" t="s">
        <v>88</v>
      </c>
      <c r="AI13" t="s">
        <v>89</v>
      </c>
    </row>
    <row r="14" spans="1:35" x14ac:dyDescent="0.25">
      <c r="A14" t="s">
        <v>82</v>
      </c>
      <c r="B14">
        <v>13</v>
      </c>
      <c r="C14">
        <v>10</v>
      </c>
      <c r="D14" t="s">
        <v>90</v>
      </c>
      <c r="E14" t="s">
        <v>44</v>
      </c>
      <c r="F14" t="s">
        <v>44</v>
      </c>
      <c r="G14" t="s">
        <v>45</v>
      </c>
      <c r="H14" t="s">
        <v>44</v>
      </c>
      <c r="I14">
        <v>8</v>
      </c>
      <c r="J14" t="s">
        <v>44</v>
      </c>
      <c r="K14">
        <v>1</v>
      </c>
      <c r="L14">
        <f>SUM($K$5:K14)</f>
        <v>75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91</v>
      </c>
      <c r="AD14" t="s">
        <v>86</v>
      </c>
      <c r="AE14" t="s">
        <v>92</v>
      </c>
      <c r="AF14" t="s">
        <v>44</v>
      </c>
      <c r="AG14">
        <v>1</v>
      </c>
      <c r="AH14" t="s">
        <v>44</v>
      </c>
      <c r="AI14" t="s">
        <v>93</v>
      </c>
    </row>
    <row r="15" spans="1:35" x14ac:dyDescent="0.25">
      <c r="A15" t="s">
        <v>90</v>
      </c>
      <c r="B15">
        <v>13</v>
      </c>
      <c r="C15">
        <v>11</v>
      </c>
      <c r="D15" t="s">
        <v>94</v>
      </c>
      <c r="E15" t="s">
        <v>44</v>
      </c>
      <c r="F15" t="s">
        <v>83</v>
      </c>
      <c r="G15" t="s">
        <v>45</v>
      </c>
      <c r="H15" t="s">
        <v>44</v>
      </c>
      <c r="I15" t="s">
        <v>44</v>
      </c>
      <c r="J15" t="s">
        <v>95</v>
      </c>
      <c r="K15">
        <v>60</v>
      </c>
      <c r="L15">
        <f>SUM($K$5:K15)</f>
        <v>135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96</v>
      </c>
      <c r="AD15" t="s">
        <v>86</v>
      </c>
      <c r="AE15" t="s">
        <v>97</v>
      </c>
      <c r="AF15" t="s">
        <v>44</v>
      </c>
      <c r="AG15">
        <v>1</v>
      </c>
      <c r="AH15" t="s">
        <v>98</v>
      </c>
      <c r="AI15" t="s">
        <v>99</v>
      </c>
    </row>
    <row r="16" spans="1:35" x14ac:dyDescent="0.25">
      <c r="A16" t="s">
        <v>94</v>
      </c>
      <c r="B16">
        <v>13</v>
      </c>
      <c r="C16">
        <v>12</v>
      </c>
      <c r="D16" t="s">
        <v>100</v>
      </c>
      <c r="E16" t="s">
        <v>44</v>
      </c>
      <c r="F16" t="s">
        <v>44</v>
      </c>
      <c r="G16" t="s">
        <v>45</v>
      </c>
      <c r="H16" t="s">
        <v>44</v>
      </c>
      <c r="I16">
        <v>9</v>
      </c>
      <c r="J16" t="s">
        <v>44</v>
      </c>
      <c r="K16">
        <v>1</v>
      </c>
      <c r="L16">
        <f>SUM($K$5:K16)</f>
        <v>136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91</v>
      </c>
      <c r="AD16" t="s">
        <v>86</v>
      </c>
      <c r="AE16" t="s">
        <v>101</v>
      </c>
      <c r="AF16" t="s">
        <v>44</v>
      </c>
      <c r="AG16">
        <v>1</v>
      </c>
      <c r="AH16" t="s">
        <v>44</v>
      </c>
      <c r="AI16" t="s">
        <v>102</v>
      </c>
    </row>
    <row r="17" spans="1:35" x14ac:dyDescent="0.25">
      <c r="A17" t="s">
        <v>100</v>
      </c>
      <c r="B17">
        <v>13</v>
      </c>
      <c r="C17">
        <v>13</v>
      </c>
      <c r="D17" t="s">
        <v>103</v>
      </c>
      <c r="E17" t="s">
        <v>104</v>
      </c>
      <c r="F17" t="s">
        <v>44</v>
      </c>
      <c r="G17" t="s">
        <v>45</v>
      </c>
      <c r="H17" t="s">
        <v>44</v>
      </c>
      <c r="I17" t="s">
        <v>105</v>
      </c>
      <c r="J17" t="s">
        <v>106</v>
      </c>
      <c r="K17">
        <v>1</v>
      </c>
      <c r="L17">
        <f>SUM($K$5:K17)</f>
        <v>137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107</v>
      </c>
      <c r="AD17" t="s">
        <v>53</v>
      </c>
      <c r="AE17" t="s">
        <v>54</v>
      </c>
      <c r="AF17" t="s">
        <v>44</v>
      </c>
      <c r="AG17" t="s">
        <v>44</v>
      </c>
      <c r="AH17" t="s">
        <v>44</v>
      </c>
      <c r="AI17" t="s">
        <v>108</v>
      </c>
    </row>
    <row r="18" spans="1:35" x14ac:dyDescent="0.25">
      <c r="A18" t="s">
        <v>105</v>
      </c>
      <c r="B18">
        <v>13</v>
      </c>
      <c r="C18">
        <v>14</v>
      </c>
      <c r="D18" t="s">
        <v>109</v>
      </c>
      <c r="E18" t="s">
        <v>110</v>
      </c>
      <c r="F18" t="s">
        <v>44</v>
      </c>
      <c r="G18" t="s">
        <v>45</v>
      </c>
      <c r="H18" t="s">
        <v>44</v>
      </c>
      <c r="I18" t="s">
        <v>44</v>
      </c>
      <c r="J18" t="s">
        <v>111</v>
      </c>
      <c r="K18">
        <v>2</v>
      </c>
      <c r="L18">
        <f>SUM($K$5:K18)</f>
        <v>139</v>
      </c>
      <c r="M18" t="s">
        <v>44</v>
      </c>
      <c r="N18" t="s">
        <v>44</v>
      </c>
      <c r="O18" t="s">
        <v>44</v>
      </c>
      <c r="P18" t="s">
        <v>44</v>
      </c>
      <c r="Q18" t="s">
        <v>58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112</v>
      </c>
      <c r="AD18" t="s">
        <v>113</v>
      </c>
      <c r="AE18" t="s">
        <v>114</v>
      </c>
      <c r="AF18" t="s">
        <v>44</v>
      </c>
      <c r="AG18">
        <v>1</v>
      </c>
      <c r="AH18" t="s">
        <v>115</v>
      </c>
      <c r="AI18" t="s">
        <v>116</v>
      </c>
    </row>
    <row r="19" spans="1:35" x14ac:dyDescent="0.25">
      <c r="A19" t="s">
        <v>109</v>
      </c>
      <c r="B19">
        <v>13</v>
      </c>
      <c r="C19">
        <v>15</v>
      </c>
      <c r="D19" t="s">
        <v>117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118</v>
      </c>
      <c r="K19">
        <v>2</v>
      </c>
      <c r="L19">
        <f>SUM($K$5:K19)</f>
        <v>141</v>
      </c>
      <c r="M19" t="s">
        <v>44</v>
      </c>
      <c r="N19" t="s">
        <v>44</v>
      </c>
      <c r="O19" t="s">
        <v>44</v>
      </c>
      <c r="P19" t="s">
        <v>44</v>
      </c>
      <c r="Q19" t="s">
        <v>119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</row>
    <row r="20" spans="1:35" x14ac:dyDescent="0.25">
      <c r="A20" t="s">
        <v>117</v>
      </c>
      <c r="B20">
        <v>13</v>
      </c>
      <c r="C20">
        <v>16</v>
      </c>
      <c r="D20" t="s">
        <v>120</v>
      </c>
      <c r="E20" t="s">
        <v>44</v>
      </c>
      <c r="F20" t="s">
        <v>44</v>
      </c>
      <c r="G20" t="s">
        <v>45</v>
      </c>
      <c r="H20" t="s">
        <v>44</v>
      </c>
      <c r="I20" t="s">
        <v>44</v>
      </c>
      <c r="J20" t="s">
        <v>44</v>
      </c>
      <c r="K20">
        <v>2</v>
      </c>
      <c r="L20">
        <f>SUM($K$5:K20)</f>
        <v>143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58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</row>
    <row r="21" spans="1:35" x14ac:dyDescent="0.25">
      <c r="A21" t="s">
        <v>120</v>
      </c>
      <c r="B21">
        <v>13</v>
      </c>
      <c r="C21">
        <v>17</v>
      </c>
      <c r="D21" t="s">
        <v>121</v>
      </c>
      <c r="E21" t="s">
        <v>44</v>
      </c>
      <c r="F21" t="s">
        <v>44</v>
      </c>
      <c r="G21" t="s">
        <v>45</v>
      </c>
      <c r="H21" t="s">
        <v>44</v>
      </c>
      <c r="I21" t="s">
        <v>44</v>
      </c>
      <c r="J21" t="s">
        <v>44</v>
      </c>
      <c r="K21">
        <v>2</v>
      </c>
      <c r="L21">
        <f>SUM($K$5:K21)</f>
        <v>145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119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</row>
    <row r="22" spans="1:35" x14ac:dyDescent="0.25">
      <c r="A22" t="s">
        <v>121</v>
      </c>
      <c r="B22">
        <v>13</v>
      </c>
      <c r="C22">
        <v>18</v>
      </c>
      <c r="D22" t="s">
        <v>122</v>
      </c>
      <c r="E22" t="s">
        <v>44</v>
      </c>
      <c r="F22" t="s">
        <v>44</v>
      </c>
      <c r="G22" t="s">
        <v>45</v>
      </c>
      <c r="H22" t="s">
        <v>44</v>
      </c>
      <c r="I22" t="s">
        <v>44</v>
      </c>
      <c r="J22" t="s">
        <v>44</v>
      </c>
      <c r="K22">
        <v>2</v>
      </c>
      <c r="L22">
        <f>SUM($K$5:K22)</f>
        <v>147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58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</row>
    <row r="23" spans="1:35" x14ac:dyDescent="0.25">
      <c r="A23" t="s">
        <v>122</v>
      </c>
      <c r="B23">
        <v>13</v>
      </c>
      <c r="C23">
        <v>19</v>
      </c>
      <c r="D23" t="s">
        <v>123</v>
      </c>
      <c r="E23" t="s">
        <v>124</v>
      </c>
      <c r="F23" t="s">
        <v>44</v>
      </c>
      <c r="G23" t="s">
        <v>45</v>
      </c>
      <c r="H23" t="s">
        <v>44</v>
      </c>
      <c r="I23" t="s">
        <v>125</v>
      </c>
      <c r="J23" t="s">
        <v>44</v>
      </c>
      <c r="K23">
        <v>2</v>
      </c>
      <c r="L23">
        <f>SUM($K$5:K23)</f>
        <v>149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119</v>
      </c>
      <c r="Z23" t="s">
        <v>44</v>
      </c>
      <c r="AA23" t="s">
        <v>44</v>
      </c>
      <c r="AB23" t="s">
        <v>44</v>
      </c>
      <c r="AC23" t="s">
        <v>85</v>
      </c>
      <c r="AD23" t="s">
        <v>113</v>
      </c>
      <c r="AE23" t="s">
        <v>126</v>
      </c>
      <c r="AF23" t="s">
        <v>44</v>
      </c>
      <c r="AG23" t="s">
        <v>44</v>
      </c>
      <c r="AH23" t="s">
        <v>44</v>
      </c>
      <c r="AI23" t="s">
        <v>127</v>
      </c>
    </row>
    <row r="24" spans="1:35" x14ac:dyDescent="0.25">
      <c r="A24" t="s">
        <v>125</v>
      </c>
      <c r="B24">
        <v>13</v>
      </c>
      <c r="C24">
        <v>20</v>
      </c>
      <c r="D24" t="s">
        <v>128</v>
      </c>
      <c r="E24" t="s">
        <v>129</v>
      </c>
      <c r="F24" t="s">
        <v>44</v>
      </c>
      <c r="G24" t="s">
        <v>45</v>
      </c>
      <c r="H24" t="s">
        <v>44</v>
      </c>
      <c r="I24">
        <v>17</v>
      </c>
      <c r="J24" t="s">
        <v>44</v>
      </c>
      <c r="K24">
        <v>2</v>
      </c>
      <c r="L24">
        <f>SUM($K$5:K24)</f>
        <v>151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91</v>
      </c>
      <c r="AD24" t="s">
        <v>86</v>
      </c>
      <c r="AE24" t="s">
        <v>130</v>
      </c>
      <c r="AF24" t="s">
        <v>44</v>
      </c>
      <c r="AG24" t="s">
        <v>44</v>
      </c>
      <c r="AH24" t="s">
        <v>44</v>
      </c>
      <c r="AI24" t="s">
        <v>131</v>
      </c>
    </row>
    <row r="25" spans="1:35" x14ac:dyDescent="0.25">
      <c r="A25" t="s">
        <v>128</v>
      </c>
      <c r="B25">
        <v>13</v>
      </c>
      <c r="C25">
        <v>21</v>
      </c>
      <c r="D25" t="s">
        <v>44</v>
      </c>
      <c r="E25" t="s">
        <v>132</v>
      </c>
      <c r="F25" t="s">
        <v>44</v>
      </c>
      <c r="G25" t="s">
        <v>45</v>
      </c>
      <c r="H25" t="s">
        <v>44</v>
      </c>
      <c r="I25" t="s">
        <v>44</v>
      </c>
      <c r="J25" t="s">
        <v>133</v>
      </c>
      <c r="K25">
        <v>1</v>
      </c>
      <c r="L25">
        <f>SUM($K$5:K25)</f>
        <v>152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91</v>
      </c>
      <c r="AD25" t="s">
        <v>134</v>
      </c>
      <c r="AE25" t="s">
        <v>130</v>
      </c>
      <c r="AF25" t="s">
        <v>44</v>
      </c>
      <c r="AG25">
        <v>1</v>
      </c>
      <c r="AH25" t="s">
        <v>135</v>
      </c>
      <c r="AI25" t="s">
        <v>136</v>
      </c>
    </row>
    <row r="26" spans="1:35" x14ac:dyDescent="0.25">
      <c r="A26" t="s">
        <v>123</v>
      </c>
      <c r="B26">
        <v>13</v>
      </c>
      <c r="C26">
        <v>22</v>
      </c>
      <c r="D26" t="s">
        <v>103</v>
      </c>
      <c r="E26" t="s">
        <v>137</v>
      </c>
      <c r="F26" t="s">
        <v>44</v>
      </c>
      <c r="G26" t="s">
        <v>45</v>
      </c>
      <c r="H26" t="s">
        <v>44</v>
      </c>
      <c r="I26" t="s">
        <v>44</v>
      </c>
      <c r="J26" t="s">
        <v>44</v>
      </c>
      <c r="K26">
        <v>1</v>
      </c>
      <c r="L26">
        <f>SUM($K$5:K26)</f>
        <v>153</v>
      </c>
      <c r="M26" t="s">
        <v>44</v>
      </c>
      <c r="N26" t="s">
        <v>44</v>
      </c>
      <c r="O26" t="s">
        <v>44</v>
      </c>
      <c r="P26" t="s">
        <v>44</v>
      </c>
      <c r="Q26" t="s">
        <v>119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119</v>
      </c>
      <c r="Z26" t="s">
        <v>119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138</v>
      </c>
    </row>
    <row r="27" spans="1:35" x14ac:dyDescent="0.25">
      <c r="A27" t="s">
        <v>103</v>
      </c>
      <c r="B27">
        <v>13</v>
      </c>
      <c r="C27">
        <v>23</v>
      </c>
      <c r="D27" t="s">
        <v>44</v>
      </c>
      <c r="E27" t="s">
        <v>139</v>
      </c>
      <c r="F27" t="s">
        <v>44</v>
      </c>
      <c r="G27" t="s">
        <v>45</v>
      </c>
      <c r="H27" t="s">
        <v>44</v>
      </c>
      <c r="I27" t="s">
        <v>44</v>
      </c>
      <c r="J27" t="s">
        <v>140</v>
      </c>
      <c r="K27">
        <v>1</v>
      </c>
      <c r="L27">
        <f>SUM($K$5:K27)</f>
        <v>154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141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AfterPlusL_v1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2026-08-22T15:44:57Z</dcterms:created>
  <dcterms:modified xsi:type="dcterms:W3CDTF">2026-08-22T15:44:57Z</dcterms:modified>
</cp:coreProperties>
</file>